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809580558eacc7e2/Personal Projects/Pokemon TerraWave CelestialStorm/"/>
    </mc:Choice>
  </mc:AlternateContent>
  <xr:revisionPtr revIDLastSave="27" documentId="8_{B57A5809-9256-4EB9-AC30-DBD0DE4B2072}" xr6:coauthVersionLast="47" xr6:coauthVersionMax="47" xr10:uidLastSave="{60F40DA2-62DC-40B3-9633-B775EC3852D6}"/>
  <bookViews>
    <workbookView xWindow="3324" yWindow="0" windowWidth="19656" windowHeight="8856" xr2:uid="{0BB119D2-CF1F-457B-A28D-DBB202DB0754}"/>
  </bookViews>
  <sheets>
    <sheet name="Detailed Sheet" sheetId="11" r:id="rId1"/>
    <sheet name="Dex" sheetId="13" r:id="rId2"/>
    <sheet name="CAP" sheetId="12" r:id="rId3"/>
    <sheet name="Pool" sheetId="14" r:id="rId4"/>
    <sheet name="Sheet5" sheetId="7" state="hidden" r:id="rId5"/>
  </sheets>
  <functionGroups builtInGroupCount="19"/>
  <definedNames>
    <definedName name="CAP" localSheetId="2" hidden="1">CAP!$A$1:$AD$115</definedName>
    <definedName name="ImageLookup">INDEX(#REF!,MATCH('Detailed Sheet'!A1048574,#REF!,0),0)</definedName>
    <definedName name="MovePool" localSheetId="3" hidden="1">Pool!$A$1:$E$77</definedName>
    <definedName name="Pokedex_1" localSheetId="1" hidden="1">Dex!$A$1:$X$115</definedName>
  </definedNames>
  <calcPr calcId="191028"/>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AP_0f25580b-d458-4cef-8c34-d182b6ea6050" name="CAP" connection="Query - CAP"/>
          <x15:modelTable id="MovePool_32e20386-9202-4a2d-9511-1e43e7bf6645" name="MovePool" connection="Query - MovePool"/>
          <x15:modelTable id="Pokedex_66371f07-f0bf-44b5-a96d-b6a7ed5804ef" name="Pokedex" connection="Query - Pokedex"/>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7" l="1"/>
  <c r="H3" i="7" l="1"/>
  <c r="G3" i="7"/>
  <c r="E3"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C3E5258-4B27-4E9A-82F8-49F0CB30826A}" keepAlive="1" name="ModelConnection_CAP" description="Data Model" type="5" refreshedVersion="8" minRefreshableVersion="5" saveData="1">
    <dbPr connection="Data Model Connection" command="CAP" commandType="3"/>
    <extLst>
      <ext xmlns:x15="http://schemas.microsoft.com/office/spreadsheetml/2010/11/main" uri="{DE250136-89BD-433C-8126-D09CA5730AF9}">
        <x15:connection id="" model="1"/>
      </ext>
    </extLst>
  </connection>
  <connection id="2" xr16:uid="{DE8E7042-EFFF-4A76-B89A-AB4C0EDDA27B}" keepAlive="1" name="ModelConnection_MovePool" description="Data Model" type="5" refreshedVersion="8" minRefreshableVersion="5" saveData="1">
    <dbPr connection="Data Model Connection" command="MovePool" commandType="3"/>
    <extLst>
      <ext xmlns:x15="http://schemas.microsoft.com/office/spreadsheetml/2010/11/main" uri="{DE250136-89BD-433C-8126-D09CA5730AF9}">
        <x15:connection id="" model="1"/>
      </ext>
    </extLst>
  </connection>
  <connection id="3" xr16:uid="{642D4BCC-BFB6-4BC9-A03D-6446E714DB49}" keepAlive="1" name="ModelConnection_Pokedex_1" description="Data Model" type="5" refreshedVersion="8" minRefreshableVersion="5" saveData="1">
    <dbPr connection="Data Model Connection" command="Pokedex" commandType="3"/>
    <extLst>
      <ext xmlns:x15="http://schemas.microsoft.com/office/spreadsheetml/2010/11/main" uri="{DE250136-89BD-433C-8126-D09CA5730AF9}">
        <x15:connection id="" model="1"/>
      </ext>
    </extLst>
  </connection>
  <connection id="4" xr16:uid="{17D1478D-4EF5-4253-A168-385B380C55E9}" name="Query - CAP" description="Connection to the 'CAP' query in the workbook." type="100" refreshedVersion="8" minRefreshableVersion="5">
    <extLst>
      <ext xmlns:x15="http://schemas.microsoft.com/office/spreadsheetml/2010/11/main" uri="{DE250136-89BD-433C-8126-D09CA5730AF9}">
        <x15:connection id="8b0c4a0f-75dc-458d-8292-f1ca9bb3a60f"/>
      </ext>
    </extLst>
  </connection>
  <connection id="5" xr16:uid="{9CE3CA78-9EE3-4DC2-8BEB-93D6BF2DB757}" name="Query - MovePool" description="Connection to the 'MovePool' query in the workbook." type="100" refreshedVersion="8" minRefreshableVersion="5">
    <extLst>
      <ext xmlns:x15="http://schemas.microsoft.com/office/spreadsheetml/2010/11/main" uri="{DE250136-89BD-433C-8126-D09CA5730AF9}">
        <x15:connection id="75be6efd-ca72-41b6-9601-84403eb2b46e"/>
      </ext>
    </extLst>
  </connection>
  <connection id="6" xr16:uid="{35322CE0-5C05-45DD-A0DA-3599F2AB7B69}" name="Query - Pokedex" description="Connection to the 'Pokedex' query in the workbook." type="100" refreshedVersion="8" minRefreshableVersion="5">
    <extLst>
      <ext xmlns:x15="http://schemas.microsoft.com/office/spreadsheetml/2010/11/main" uri="{DE250136-89BD-433C-8126-D09CA5730AF9}">
        <x15:connection id="8cb8c3c1-67d2-4347-8ef1-b8eff50e779b"/>
      </ext>
    </extLst>
  </connection>
  <connection id="7" xr16:uid="{B26AE387-3F65-4994-85F1-067A4418771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<sst xmlns="http://schemas.openxmlformats.org/spreadsheetml/2006/main" count="1794" uniqueCount="734">
  <si>
    <t>Name</t>
  </si>
  <si>
    <t>Eternalance</t>
  </si>
  <si>
    <t>Id</t>
  </si>
  <si>
    <t>Pokédex number</t>
  </si>
  <si>
    <t>Type 1</t>
  </si>
  <si>
    <t>Type 2</t>
  </si>
  <si>
    <t>HP</t>
  </si>
  <si>
    <t>Atk</t>
  </si>
  <si>
    <t>Def</t>
  </si>
  <si>
    <t>SpA</t>
  </si>
  <si>
    <t>SpD</t>
  </si>
  <si>
    <t>Spe</t>
  </si>
  <si>
    <t>Stat HP</t>
  </si>
  <si>
    <t>Stat Atk</t>
  </si>
  <si>
    <t>Stat Def</t>
  </si>
  <si>
    <t>Stat SpA</t>
  </si>
  <si>
    <t>Stat SpD</t>
  </si>
  <si>
    <t>Stat Spe</t>
  </si>
  <si>
    <t>SPD Factor</t>
  </si>
  <si>
    <t>RPT</t>
  </si>
  <si>
    <t>RST</t>
  </si>
  <si>
    <t>RPS</t>
  </si>
  <si>
    <t>RSS</t>
  </si>
  <si>
    <t>PT</t>
  </si>
  <si>
    <t>ST</t>
  </si>
  <si>
    <t>PS</t>
  </si>
  <si>
    <t>SS</t>
  </si>
  <si>
    <t>ODB</t>
  </si>
  <si>
    <t>PSB</t>
  </si>
  <si>
    <t>Overall Rating</t>
  </si>
  <si>
    <t>RatingLabel</t>
  </si>
  <si>
    <t>Movepool size</t>
  </si>
  <si>
    <t xml:space="preserve"> Thunderouge</t>
  </si>
  <si>
    <t xml:space="preserve"> Electric</t>
  </si>
  <si>
    <t xml:space="preserve"> Normal</t>
  </si>
  <si>
    <t>Very Good</t>
  </si>
  <si>
    <t xml:space="preserve"> Stormkit</t>
  </si>
  <si>
    <t>Below Average</t>
  </si>
  <si>
    <t xml:space="preserve"> Lunarouge</t>
  </si>
  <si>
    <t xml:space="preserve"> Water</t>
  </si>
  <si>
    <t xml:space="preserve"> Tidalkit</t>
  </si>
  <si>
    <t xml:space="preserve"> Solarouge</t>
  </si>
  <si>
    <t xml:space="preserve"> Fire</t>
  </si>
  <si>
    <t xml:space="preserve"> Solarkit</t>
  </si>
  <si>
    <t xml:space="preserve"> Glacihorn</t>
  </si>
  <si>
    <t xml:space="preserve"> Ice</t>
  </si>
  <si>
    <t xml:space="preserve"> Rock</t>
  </si>
  <si>
    <t xml:space="preserve"> Aurorox</t>
  </si>
  <si>
    <t xml:space="preserve"> Toxifly</t>
  </si>
  <si>
    <t xml:space="preserve"> Bug</t>
  </si>
  <si>
    <t xml:space="preserve"> Poison</t>
  </si>
  <si>
    <t>Venomwing</t>
  </si>
  <si>
    <t>Bug</t>
  </si>
  <si>
    <t>Poison</t>
  </si>
  <si>
    <t>Mudhound</t>
  </si>
  <si>
    <t>Ground</t>
  </si>
  <si>
    <t>Good</t>
  </si>
  <si>
    <t>Claypup</t>
  </si>
  <si>
    <t>Poor</t>
  </si>
  <si>
    <t>Crystaleye</t>
  </si>
  <si>
    <t>Ice</t>
  </si>
  <si>
    <t>Psychic</t>
  </si>
  <si>
    <t>Above Average</t>
  </si>
  <si>
    <t>Arborwyrm</t>
  </si>
  <si>
    <t>Dragon</t>
  </si>
  <si>
    <t>Grass</t>
  </si>
  <si>
    <t>Excellent</t>
  </si>
  <si>
    <t>Dracobark</t>
  </si>
  <si>
    <t>Zephyraptor</t>
  </si>
  <si>
    <t>Electric</t>
  </si>
  <si>
    <t>Flying</t>
  </si>
  <si>
    <t>Galewing</t>
  </si>
  <si>
    <t>Spiritflame</t>
  </si>
  <si>
    <t>Fire</t>
  </si>
  <si>
    <t>Ghost</t>
  </si>
  <si>
    <t>Wispflare</t>
  </si>
  <si>
    <t>Stardance</t>
  </si>
  <si>
    <t>Fairy</t>
  </si>
  <si>
    <t>Starwhirl</t>
  </si>
  <si>
    <t>Cinderaptor</t>
  </si>
  <si>
    <t>Skylotus</t>
  </si>
  <si>
    <t>Dracoshell</t>
  </si>
  <si>
    <t>Steel</t>
  </si>
  <si>
    <t>Dracoon</t>
  </si>
  <si>
    <t>Tidalfin</t>
  </si>
  <si>
    <t>Water</t>
  </si>
  <si>
    <t>Shadestone</t>
  </si>
  <si>
    <t>Rock</t>
  </si>
  <si>
    <t>Plasmawing</t>
  </si>
  <si>
    <t>Electrowl</t>
  </si>
  <si>
    <t>Terracrusher</t>
  </si>
  <si>
    <t>Fighting</t>
  </si>
  <si>
    <t>Terracoon</t>
  </si>
  <si>
    <t>Galeswimmer</t>
  </si>
  <si>
    <t>Tidaloon</t>
  </si>
  <si>
    <t>Fungogre</t>
  </si>
  <si>
    <t>Fungoom</t>
  </si>
  <si>
    <t>Dracolupus</t>
  </si>
  <si>
    <t>Normal</t>
  </si>
  <si>
    <t>Dracocanine</t>
  </si>
  <si>
    <t>Dracopup</t>
  </si>
  <si>
    <t>Bad</t>
  </si>
  <si>
    <t>Chamelebug</t>
  </si>
  <si>
    <t>Echotangle</t>
  </si>
  <si>
    <t>Terrascorpio</t>
  </si>
  <si>
    <t>Shadowraith</t>
  </si>
  <si>
    <t>Dark</t>
  </si>
  <si>
    <t>Dracoflare</t>
  </si>
  <si>
    <t>Scuttlant</t>
  </si>
  <si>
    <t>Pugilchimp</t>
  </si>
  <si>
    <t>Moonalope</t>
  </si>
  <si>
    <t>Moonhare</t>
  </si>
  <si>
    <t>Moonkit</t>
  </si>
  <si>
    <t>Serenimbus</t>
  </si>
  <si>
    <t>Luminaria</t>
  </si>
  <si>
    <t>Floraphoenix</t>
  </si>
  <si>
    <t>Chronalith</t>
  </si>
  <si>
    <t>Tempustorm</t>
  </si>
  <si>
    <t>Aurorashine</t>
  </si>
  <si>
    <t>Nebulavale</t>
  </si>
  <si>
    <t>Galacteon</t>
  </si>
  <si>
    <t>Lunarisade</t>
  </si>
  <si>
    <t>Solarnova</t>
  </si>
  <si>
    <t>Boulderstone</t>
  </si>
  <si>
    <t>Stoneshell</t>
  </si>
  <si>
    <t>Glimmerwing</t>
  </si>
  <si>
    <t>Glimmertail</t>
  </si>
  <si>
    <t>Leafdrillarch</t>
  </si>
  <si>
    <t>Leafdriller</t>
  </si>
  <si>
    <t>Spectrarmor</t>
  </si>
  <si>
    <t>Dreamcobra</t>
  </si>
  <si>
    <t>Slumbersnake</t>
  </si>
  <si>
    <t>Frostalon</t>
  </si>
  <si>
    <t>Chillpeck</t>
  </si>
  <si>
    <t>Boltleap</t>
  </si>
  <si>
    <t>Frosthoot</t>
  </si>
  <si>
    <t>Rockscorpio</t>
  </si>
  <si>
    <t>Stormind</t>
  </si>
  <si>
    <t>Psycloud</t>
  </si>
  <si>
    <t>Venomburst</t>
  </si>
  <si>
    <t>Pyroscorch</t>
  </si>
  <si>
    <t>Lumifin</t>
  </si>
  <si>
    <t>Glimmerfin</t>
  </si>
  <si>
    <t>Frostifly</t>
  </si>
  <si>
    <t>Crystabug</t>
  </si>
  <si>
    <t>Magmaarmor</t>
  </si>
  <si>
    <t>Lavadillo</t>
  </si>
  <si>
    <t>Foliaguar</t>
  </si>
  <si>
    <t>Leaflinx</t>
  </si>
  <si>
    <t>Fernile</t>
  </si>
  <si>
    <t>Terravipera</t>
  </si>
  <si>
    <t>Hydrotigris</t>
  </si>
  <si>
    <t>Pyroscalion</t>
  </si>
  <si>
    <t>Amazing</t>
  </si>
  <si>
    <t>Celestistorm</t>
  </si>
  <si>
    <t>Fantastic</t>
  </si>
  <si>
    <t>Terraguardian</t>
  </si>
  <si>
    <t>Floracanine</t>
  </si>
  <si>
    <t>Vinewolf</t>
  </si>
  <si>
    <t>Leafpup</t>
  </si>
  <si>
    <t>Tsunarmor</t>
  </si>
  <si>
    <t>Surfrider</t>
  </si>
  <si>
    <t>Aquaturtle</t>
  </si>
  <si>
    <t>Infernostalker</t>
  </si>
  <si>
    <t>Blazeopard</t>
  </si>
  <si>
    <t>Pyrokit</t>
  </si>
  <si>
    <t>Terravolt</t>
  </si>
  <si>
    <t>Lumileaf</t>
  </si>
  <si>
    <t>Solarcher</t>
  </si>
  <si>
    <t>Sunquiver</t>
  </si>
  <si>
    <t>Galefang</t>
  </si>
  <si>
    <t>Windfang</t>
  </si>
  <si>
    <t>Breezepup</t>
  </si>
  <si>
    <t>Cryosteel</t>
  </si>
  <si>
    <t>Thornimbus</t>
  </si>
  <si>
    <t>Magmalance</t>
  </si>
  <si>
    <t>Emberhorn</t>
  </si>
  <si>
    <t>Aquaphoon</t>
  </si>
  <si>
    <t>Wavewing</t>
  </si>
  <si>
    <t>Aquaswift</t>
  </si>
  <si>
    <t>Total Stats</t>
  </si>
  <si>
    <t>Ability 1</t>
  </si>
  <si>
    <t>New Ability Description</t>
  </si>
  <si>
    <t>Ability 2</t>
  </si>
  <si>
    <t>Physical Description</t>
  </si>
  <si>
    <t>Weaknesses</t>
  </si>
  <si>
    <t>Strengths</t>
  </si>
  <si>
    <t>Evolution</t>
  </si>
  <si>
    <t>Evolution Level</t>
  </si>
  <si>
    <t>Score</t>
  </si>
  <si>
    <t>Tier</t>
  </si>
  <si>
    <t>Image link</t>
  </si>
  <si>
    <t>Prompt</t>
  </si>
  <si>
    <t>Swift Swim</t>
  </si>
  <si>
    <t>Drizzle</t>
  </si>
  <si>
    <t>Sleek dolphin-like body, large wings, water crest</t>
  </si>
  <si>
    <t>Electric, Grass, Rock</t>
  </si>
  <si>
    <t>Water, Fire, Ground, Bug</t>
  </si>
  <si>
    <t>Final Stage</t>
  </si>
  <si>
    <t>OU</t>
  </si>
  <si>
    <t>/imagine prompt:Aquaphoon Regular Pokemon; Water/Flying; Sleek dolphin-like body, large wings, water crest; detailed; pokemon style; anime style;vibrant colors;limited color palette --q 1.5</t>
  </si>
  <si>
    <t xml:space="preserve"> Blaze</t>
  </si>
  <si>
    <t xml:space="preserve"> Solar Power</t>
  </si>
  <si>
    <t xml:space="preserve"> Large feline creature with a majestic sun-shaped pattern on its fur and a blazing tail</t>
  </si>
  <si>
    <t xml:space="preserve"> Water, Ground, Rock</t>
  </si>
  <si>
    <t xml:space="preserve"> Fire, Normal, Psychic</t>
  </si>
  <si>
    <t>/imagine prompt: Solarouge Regular Pokemon;  Fire/ Normal;  Large feline creature with a majestic sun-shaped pattern on its fur and a blazing tail; detailed; pokemon style; anime style;vibrant colors;limited color palette --q 1.5</t>
  </si>
  <si>
    <t xml:space="preserve"> Torrent</t>
  </si>
  <si>
    <t xml:space="preserve"> Swift Swim</t>
  </si>
  <si>
    <t xml:space="preserve"> Large feline creature with a captivating moon-shaped pattern on its fur and a flowing watery tail</t>
  </si>
  <si>
    <t xml:space="preserve"> Electric, Grass, Fighting</t>
  </si>
  <si>
    <t xml:space="preserve"> Water, Normal, Psychic</t>
  </si>
  <si>
    <t>/imagine prompt: Lunarouge Regular Pokemon;  Water/ Normal;  Large feline creature with a captivating moon-shaped pattern on its fur and a flowing watery tail; detailed; pokemon style; anime style;vibrant colors;limited color palette --q 1.5</t>
  </si>
  <si>
    <t>Polar Radiance</t>
  </si>
  <si>
    <t>Boosts the power of Ice-type and Dragon-type moves by 50% in hail.</t>
  </si>
  <si>
    <t>A serpentine dragon adorned with icy crystals and shimmering scales reflecting the aurora borealis. Its graceful form and beauty are mesmerizing.</t>
  </si>
  <si>
    <t>Dragon, Rock, Steel, Fairy, Fighting</t>
  </si>
  <si>
    <t>Ice, Dragon, Ground, Water, Flying</t>
  </si>
  <si>
    <t>Legendary</t>
  </si>
  <si>
    <t>/imagine prompt:Aurorashine Legendary Pokemon; Ice/Dragon; A serpentine dragon adorned with icy crystals and shimmering scales reflecting the aurora borealis. Its graceful form and beauty are mesmerizing.; detailed; pokemon style; anime style;vibrant colors;limited color palette --q 1.5</t>
  </si>
  <si>
    <t>Multiscale</t>
  </si>
  <si>
    <t>Reduces damage when HP is full.</t>
  </si>
  <si>
    <t>Strong Jaw</t>
  </si>
  <si>
    <t>A majestic, powerful dragon-like wolf with a muscular body and wings.</t>
  </si>
  <si>
    <t>Dragon, Fighting, Ice</t>
  </si>
  <si>
    <t>Normal, Fire, Water</t>
  </si>
  <si>
    <t>/imagine prompt:Dracolupus Regular Pokemon; Dragon/Normal; A majestic, powerful dragon-like wolf with a muscular body and wings.; detailed; pokemon style; anime style;vibrant colors;limited color palette --q 1.5</t>
  </si>
  <si>
    <t>Snow Cloak</t>
  </si>
  <si>
    <t>During hail, the Pokémon's evasiveness increases by 20%. This ability works in conjunction with the Snow Warning ability or any other effect that causes hail, making the Pokémon harder to hit with moves during hail.</t>
  </si>
  <si>
    <t>Keen Eye</t>
  </si>
  <si>
    <t>Large bird with icy feathers, sharp beak, and impressive wingspan</t>
  </si>
  <si>
    <t>Fire, Rock, Electric, Steel</t>
  </si>
  <si>
    <t>Ice, Flying, Ground, Grass</t>
  </si>
  <si>
    <t>UU</t>
  </si>
  <si>
    <t>/imagine prompt:Frostalon Regular Pokemon; Ice/Flying; Large bird with icy feathers, sharp beak, and impressive wingspan; detailed; pokemon style; anime style;vibrant colors;limited color palette --q 1.5</t>
  </si>
  <si>
    <t>Magic Bounce</t>
  </si>
  <si>
    <t>None</t>
  </si>
  <si>
    <t>Larger cloud-like creature with a more intense psychic energy and bird-like wings</t>
  </si>
  <si>
    <t>Electric, Ice, Rock, Ghost, Dark</t>
  </si>
  <si>
    <t>Psychic, Flying, Fighting, Ground</t>
  </si>
  <si>
    <t>/imagine prompt:Stormind Regular Pokemon; Psychic/Flying; Larger cloud-like creature with a more intense psychic energy and bird-like wings; detailed; pokemon style; anime style;vibrant colors;limited color palette --q 1.5</t>
  </si>
  <si>
    <t>Intimidate</t>
  </si>
  <si>
    <t>Gale Wings</t>
  </si>
  <si>
    <t>Wolf-like, larger wings, dark mist around</t>
  </si>
  <si>
    <t>Electric, Ice, Rock, Fairy</t>
  </si>
  <si>
    <t>Psychic, Ghost, Dark, Grass</t>
  </si>
  <si>
    <t>/imagine prompt:Galefang Regular Pokemon; Dark/Flying; Wolf-like, larger wings, dark mist around; detailed; pokemon style; anime style;vibrant colors;limited color palette --q 1.5</t>
  </si>
  <si>
    <t>Static</t>
  </si>
  <si>
    <t>Motor Drive</t>
  </si>
  <si>
    <t>Large bird of prey with electrically charged feathers and wind-shaped wings</t>
  </si>
  <si>
    <t>Rock, Ice, Ground</t>
  </si>
  <si>
    <t>Electric, Flying, Bug, Grass</t>
  </si>
  <si>
    <t>/imagine prompt:Zephyraptor Regular Pokemon; Electric/Flying; Large bird of prey with electrically charged feathers and wind-shaped wings; detailed; pokemon style; anime style;vibrant colors;limited color palette --q 1.5</t>
  </si>
  <si>
    <t>Moonlit Grace</t>
  </si>
  <si>
    <t>When a Pokémon with the Moonlit Grace ability enters the battle, it sets up a moonlight condition for 5 turns. The moonlight condition boosts the power of Dark-type and Fairy-type moves by 50%</t>
  </si>
  <si>
    <t>An elegant, jackalope-like Pokémon with a crescent moon marking on its forehead and antlers resembling branches adorned with shimmering, moonlit leaves. Its fur emits a soft glow, and its eyes hold a deep wisdom.</t>
  </si>
  <si>
    <t>Steel, Poison, Ghost, Dark</t>
  </si>
  <si>
    <t>Dark, Bug, Fighting, Psychic</t>
  </si>
  <si>
    <t>/imagine prompt:Moonalope Regular Pokemon; Fairy/Psychic; An elegant, jackalope-like Pokémon with a crescent moon marking on its forehead and antlers resembling branches adorned with shimmering, moonlit leaves. Its fur emits a soft glow, and its eyes hold a deep wisdom.; detailed; pokemon style; anime style;vibrant colors;limited color palette --q 1.5</t>
  </si>
  <si>
    <t>Synchronize</t>
  </si>
  <si>
    <t>When a Pokémon with this ability is inflicted with a status condition (burn, poison, or paralysis), the opponent Pokémon will also receive the same status condition, provided it doesn't have immunity to that status condition.</t>
  </si>
  <si>
    <t>Shed Skin</t>
  </si>
  <si>
    <t>Larger serpent with even more hypnotic patterns and a menacing gaze</t>
  </si>
  <si>
    <t>Ground, Psychic, Ghost</t>
  </si>
  <si>
    <t>Psychic, Poison, Grass, Fighting</t>
  </si>
  <si>
    <t>/imagine prompt:Dreamcobra Regular Pokemon; Psychic/Poison; Larger serpent with even more hypnotic patterns and a menacing gaze; detailed; pokemon style; anime style;vibrant colors;limited color palette --q 1.5</t>
  </si>
  <si>
    <t xml:space="preserve"> Snow Warning</t>
  </si>
  <si>
    <t xml:space="preserve"> Refrigerate</t>
  </si>
  <si>
    <t xml:space="preserve"> Large prehistoric creature resembling a woolly rhinoceros with massive crystalline spikes and armor</t>
  </si>
  <si>
    <t xml:space="preserve"> Fire, Steel, Water, Grass, Fighting, Ground, Rock</t>
  </si>
  <si>
    <t xml:space="preserve"> Ice, Rock, Flying, Bug</t>
  </si>
  <si>
    <t>/imagine prompt: Glacihorn Regular Pokemon;  Ice/ Rock;  Large prehistoric creature resembling a woolly rhinoceros with massive crystalline spikes and armor; detailed; pokemon style; anime style;vibrant colors;limited color palette --q 1.5</t>
  </si>
  <si>
    <t>Blaze</t>
  </si>
  <si>
    <t>Reckless</t>
  </si>
  <si>
    <t>Raptor-like Pokémon with a fiery body and sharp claws</t>
  </si>
  <si>
    <t>Water, Ground, Dragon, Rock, Fairy</t>
  </si>
  <si>
    <t>Fire, Dragon, Bug, Steel, Grass</t>
  </si>
  <si>
    <t>/imagine prompt:Cinderaptor Regular Pokemon; Fire/Dragon; Raptor-like Pokémon with a fiery body and sharp claws; detailed; pokemon style; anime style;vibrant colors;limited color palette --q 1.5</t>
  </si>
  <si>
    <t>Torrent</t>
  </si>
  <si>
    <t>Armored turtle, steel shell, water cannons</t>
  </si>
  <si>
    <t>Electric, Grass, Fighting</t>
  </si>
  <si>
    <t>Water, Fire, Ice, Psychic, Steel</t>
  </si>
  <si>
    <t>/imagine prompt:Tsunarmor Regular Pokemon; Water/Steel; Armored turtle, steel shell, water cannons; detailed; pokemon style; anime style;vibrant colors;limited color palette --q 1.5</t>
  </si>
  <si>
    <t>Overgrow</t>
  </si>
  <si>
    <t>Natural Cure</t>
  </si>
  <si>
    <t>Majestic canine, floral mane, fairy-like wings</t>
  </si>
  <si>
    <t>Fire, Ice, Poison, Flying, Steel</t>
  </si>
  <si>
    <t>Grass, Water, Ground, Dark</t>
  </si>
  <si>
    <t>/imagine prompt:Floracanine Regular Pokemon; Grass/Fairy; Majestic canine, floral mane, fairy-like wings; detailed; pokemon style; anime style;vibrant colors;limited color palette --q 1.5</t>
  </si>
  <si>
    <t xml:space="preserve"> Compound Eyes</t>
  </si>
  <si>
    <t xml:space="preserve"> Toxic Boost</t>
  </si>
  <si>
    <t xml:space="preserve"> Large insect-like creature with toxic wings and a more potent stinger</t>
  </si>
  <si>
    <t xml:space="preserve"> Fire, Flying, Rock, Psychic</t>
  </si>
  <si>
    <t xml:space="preserve"> Bug, Grass, Fairy, Fighting</t>
  </si>
  <si>
    <t>/imagine prompt: Toxifly Regular Pokemon;  Bug/ Poison;  Large insect-like creature with toxic wings and a more potent stinger; detailed; pokemon style; anime style;vibrant colors;limited color palette --q 1.5</t>
  </si>
  <si>
    <t>Solid Rock</t>
  </si>
  <si>
    <t>Reduces damage from super-effective moves</t>
  </si>
  <si>
    <t>Sturdy</t>
  </si>
  <si>
    <t>A larger turtle with a boulder-like shell</t>
  </si>
  <si>
    <t>Grass, Fighting, Ground</t>
  </si>
  <si>
    <t>Fire, Flying</t>
  </si>
  <si>
    <t>/imagine prompt:Boulderstone Regular Pokemon; Rock/Water; A larger turtle with a boulder-like shell; detailed; pokemon style; anime style;vibrant colors;limited color palette --q 1.5</t>
  </si>
  <si>
    <t>Large, red, armadillo-like, lava-like armor, spikes</t>
  </si>
  <si>
    <t>Water, Ground, Rock</t>
  </si>
  <si>
    <t>Fire, Ground</t>
  </si>
  <si>
    <t>/imagine prompt:Magmaarmor Regular Pokemon; Fire/Ground; Large, red, armadillo-like, lava-like armor, spikes; detailed; pokemon style; anime style;vibrant colors;limited color palette --q 1.5</t>
  </si>
  <si>
    <t>Dark panther-like, flame aura, black armor</t>
  </si>
  <si>
    <t>Water, Ground, Rock, Fight</t>
  </si>
  <si>
    <t>Fire, Ice, Psychic, Ghost</t>
  </si>
  <si>
    <t>/imagine prompt:Infernostalker Regular Pokemon; Fire/Dark; Dark panther-like, flame aura, black armor; detailed; pokemon style; anime style;vibrant colors;limited color palette --q 1.5</t>
  </si>
  <si>
    <t>Stance Change</t>
  </si>
  <si>
    <t>Filter</t>
  </si>
  <si>
    <t>Armored ghostly knight with a shield and spectral sword</t>
  </si>
  <si>
    <t>Fire, Ghost, Dark, Ground</t>
  </si>
  <si>
    <t>Ghost, Steel, Normal, Flying, Psychic, Rock, Ice, Dragon, Fairy</t>
  </si>
  <si>
    <t>/imagine prompt:Spectrarmor Regular Pokemon; Ghost/Steel; Armored ghostly knight with a shield and spectral sword; detailed; pokemon style; anime style;vibrant colors;limited color palette --q 1.5</t>
  </si>
  <si>
    <t>Corrosion</t>
  </si>
  <si>
    <t>Large, red and purple salamander with flaming body and poisonous barbs</t>
  </si>
  <si>
    <t>Water, Ground, Rock, Psychic</t>
  </si>
  <si>
    <t>Fire, Poison, Bug, Grass</t>
  </si>
  <si>
    <t>/imagine prompt:Venomburst Regular Pokemon; Fire/Poison; Large, red and purple salamander with flaming body and poisonous barbs; detailed; pokemon style; anime style;vibrant colors;limited color palette --q 1.5</t>
  </si>
  <si>
    <t>Sand Stream</t>
  </si>
  <si>
    <t>Sand Force</t>
  </si>
  <si>
    <t>Armored, electric-yellow lizard, rocky spikes</t>
  </si>
  <si>
    <t>Water, Grass, Ice, Ground</t>
  </si>
  <si>
    <t>Electric, Rock, Flying, Bug</t>
  </si>
  <si>
    <t>Single stage</t>
  </si>
  <si>
    <t>/imagine prompt:Terravolt Regular Pokemon; Electric/Rock; Armored, electric-yellow lizard, rocky spikes; detailed; pokemon style; anime style;vibrant colors;limited color palette --q 1.5</t>
  </si>
  <si>
    <t>Powers up Fire-type moves when HP is low</t>
  </si>
  <si>
    <t>A dragon-like Pokémon with blazing red scales and flames billowing from its mouth and tail.</t>
  </si>
  <si>
    <t>Dragon, Ground, Rock</t>
  </si>
  <si>
    <t>Fire, Grass, Electric, Bug, Steel</t>
  </si>
  <si>
    <t>/imagine prompt:Dracoflare Regular Pokemon; Dragon/Fire; A dragon-like Pokémon with blazing red scales and flames billowing from its mouth and tail.; detailed; pokemon style; anime style;vibrant colors;limited color palette --q 1.5</t>
  </si>
  <si>
    <t>Overcharge</t>
  </si>
  <si>
    <t>Floating cloud-like creature, grass vines, sparks</t>
  </si>
  <si>
    <t>Fire, Ice, Poison, Bug</t>
  </si>
  <si>
    <t>Grass, Electric, Water, Flying</t>
  </si>
  <si>
    <t>/imagine prompt:Thornimbus Regular Pokemon; Grass/Electric; Floating cloud-like creature, grass vines, sparks; detailed; pokemon style; anime style;vibrant colors;limited color palette --q 1.5</t>
  </si>
  <si>
    <t>Armor-clad dragon raccoon with metallic scales and larger fangs</t>
  </si>
  <si>
    <t>Ice, Dragon, Fighting, Ground</t>
  </si>
  <si>
    <t>Dragon, Fire, Water, Electric, Psychic, Fairy, Steel</t>
  </si>
  <si>
    <t>/imagine prompt:Dracoshell Regular Pokemon; Dragon/Steel; Armor-clad dragon raccoon with metallic scales and larger fangs; detailed; pokemon style; anime style;vibrant colors;limited color palette --q 1.5</t>
  </si>
  <si>
    <t>Flash Fire</t>
  </si>
  <si>
    <t>Cursed Body</t>
  </si>
  <si>
    <t>Larger flame-like creature, ghostly features, more intense glow</t>
  </si>
  <si>
    <t>Water, Ground, Rock, Ghost, Dark</t>
  </si>
  <si>
    <t>Fire, Psychic, Bug</t>
  </si>
  <si>
    <t>/imagine prompt:Spiritflame Regular Pokemon; Fire/Ghost; Larger flame-like creature, ghostly features, more intense glow; detailed; pokemon style; anime style;vibrant colors;limited color palette --q 1.5</t>
  </si>
  <si>
    <t>Summons rain when entering battle.</t>
  </si>
  <si>
    <t>A sleek, fast waterfowl-like Pokémon with powerful wings and pouches.</t>
  </si>
  <si>
    <t>Electric, Rock</t>
  </si>
  <si>
    <t>Water, Ground, Fire, Fighting</t>
  </si>
  <si>
    <t>/imagine prompt:Galeswimmer Regular Pokemon; Water/Flying; A sleek, fast waterfowl-like Pokémon with powerful wings and pouches.; detailed; pokemon style; anime style;vibrant colors;limited color palette --q 1.5</t>
  </si>
  <si>
    <t>Ice Body</t>
  </si>
  <si>
    <t>Icy metallic quadruped, crystal armor, sharp tail</t>
  </si>
  <si>
    <t>Fire, Fighting, Ground</t>
  </si>
  <si>
    <t>Ice, Dragon, Fairy, Rock, Steel</t>
  </si>
  <si>
    <t>/imagine prompt:Cryosteel Regular Pokemon; Ice/Steel; Icy metallic quadruped, crystal armor, sharp tail; detailed; pokemon style; anime style;vibrant colors;limited color palette --q 1.5</t>
  </si>
  <si>
    <t>Stamina</t>
  </si>
  <si>
    <t>Larger, brown dog with mud-like fur and a fierce stance</t>
  </si>
  <si>
    <t>Water, Grass, Ice</t>
  </si>
  <si>
    <t>Ground, Electric, Rock</t>
  </si>
  <si>
    <t>/imagine prompt:Mudhound Regular Pokemon; Ground/; Larger, brown dog with mud-like fur and a fierce stance; detailed; pokemon style; anime style;vibrant colors;limited color palette --q 1.5</t>
  </si>
  <si>
    <t>Pixilate</t>
  </si>
  <si>
    <t>Sleek, fish-like Pokémon with glowing, iridescent scales and fins</t>
  </si>
  <si>
    <t>Electric, Grass, Poison</t>
  </si>
  <si>
    <t>Water, Fire, Fighting, Dragon</t>
  </si>
  <si>
    <t>/imagine prompt:Lumifin Regular Pokemon; Water/Fairy; Sleek, fish-like Pokémon with glowing, iridescent scales and fins; detailed; pokemon style; anime style;vibrant colors;limited color palette --q 1.5</t>
  </si>
  <si>
    <t>Solar Power</t>
  </si>
  <si>
    <t>Fiery centaur, bow-shaped horns, psychic aura</t>
  </si>
  <si>
    <t>Water, Ground, Rock, Ghost</t>
  </si>
  <si>
    <t>Fire, Ice, Bug, Fighting, Poison</t>
  </si>
  <si>
    <t>/imagine prompt:Solarcher Regular Pokemon; Fire/Psychic; Fiery centaur, bow-shaped horns, psychic aura; detailed; pokemon style; anime style;vibrant colors;limited color palette --q 1.5</t>
  </si>
  <si>
    <t>When a Pokémon with this ability is hit by an Electric-type move, it doesn't take damage. Instead, its Speed stat increases by one stage. This ability effectively grants immunity to Electric-type moves and rewards the Pokémon with a Speed boost.</t>
  </si>
  <si>
    <t>Agile creature with electrically-charged fur and powerful limbs</t>
  </si>
  <si>
    <t>Ground, Psychic, Flying, Fairy</t>
  </si>
  <si>
    <t>Electric, Fighting, Water, Steel</t>
  </si>
  <si>
    <t>/imagine prompt:Boltleap Regular Pokemon; Electric/Fighting; Agile creature with electrically-charged fur and powerful limbs; detailed; pokemon style; anime style;vibrant colors;limited color palette --q 1.5</t>
  </si>
  <si>
    <t>Armored horse, flaming mane, lance-like horn</t>
  </si>
  <si>
    <t>Water, Ground, Fighting</t>
  </si>
  <si>
    <t>Fire, Ice, Bug, Fairy, Psychic, Steel</t>
  </si>
  <si>
    <t>/imagine prompt:Magmalance Regular Pokemon; Fire/Steel; Armored horse, flaming mane, lance-like horn; detailed; pokemon style; anime style;vibrant colors;limited color palette --q 1.5</t>
  </si>
  <si>
    <t>Marvel Scale</t>
  </si>
  <si>
    <t>Raises Defense if the Pokémon has a status</t>
  </si>
  <si>
    <t>Serene Grace</t>
  </si>
  <si>
    <t>A majestic dragon with shimmering wings</t>
  </si>
  <si>
    <t>Steel, Poison, Fairy</t>
  </si>
  <si>
    <t>Dark, Dragon</t>
  </si>
  <si>
    <t>/imagine prompt:Glimmerwing Regular Pokemon; Dragon/Fairy; A majestic dragon with shimmering wings; detailed; pokemon style; anime style;vibrant colors;limited color palette --q 1.5</t>
  </si>
  <si>
    <t>Effect Spore</t>
  </si>
  <si>
    <t>May cause status conditions if hit by contact moves.</t>
  </si>
  <si>
    <t>Poison Heal</t>
  </si>
  <si>
    <t>A large, imposing mushroom-like creature with a menacing, toothy grin.</t>
  </si>
  <si>
    <t>Fire, Psychic, Flying, Ice</t>
  </si>
  <si>
    <t>Water, Electric, Fairy, Grass</t>
  </si>
  <si>
    <t>/imagine prompt:Fungogre Regular Pokemon; Poison/Grass; A large, imposing mushroom-like creature with a menacing, toothy grin.; detailed; pokemon style; anime style;vibrant colors;limited color palette --q 1.5</t>
  </si>
  <si>
    <t>Chlorophyll</t>
  </si>
  <si>
    <t>Magic Guard</t>
  </si>
  <si>
    <t>Green leafy body, luminescent spots, flower petals</t>
  </si>
  <si>
    <t>Fire, Ice, Poison, Steel</t>
  </si>
  <si>
    <t>/imagine prompt:Lumileaf Regular Pokemon; Grass/Fairy; Green leafy body, luminescent spots, flower petals; detailed; pokemon style; anime style;vibrant colors;limited color palette --q 1.5</t>
  </si>
  <si>
    <t>Poison Point</t>
  </si>
  <si>
    <t>May poison a target when it strikes with a move that makes contact</t>
  </si>
  <si>
    <t>Sand Veil</t>
  </si>
  <si>
    <t>A large, scorpion-like Pokémon with a venomous stinger and strong, ground-digging claws.</t>
  </si>
  <si>
    <t>Water, Ice, Psychic, Ground</t>
  </si>
  <si>
    <t>Electric, Rock, Poison, Bug</t>
  </si>
  <si>
    <t>/imagine prompt:Terrascorpio Regular Pokemon; Ground/Poison; A large, scorpion-like Pokémon with a venomous stinger and strong, ground-digging claws.; detailed; pokemon style; anime style;vibrant colors;limited color palette --q 1.5</t>
  </si>
  <si>
    <t>Iron Fist</t>
  </si>
  <si>
    <t>Powers up punching moves by 20%</t>
  </si>
  <si>
    <t>Guts</t>
  </si>
  <si>
    <t>A muscular chimpanzee-like Pokémon with a red mohawk and boxing gloves.</t>
  </si>
  <si>
    <t>Flying, Psychic, Fairy</t>
  </si>
  <si>
    <t>Rock, Dark, Steel, Normal, Ice</t>
  </si>
  <si>
    <t>/imagine prompt:Pugilchimp Regular Pokemon; Fighting/; A muscular chimpanzee-like Pokémon with a red mohawk and boxing gloves.; detailed; pokemon style; anime style;vibrant colors;limited color palette --q 1.5</t>
  </si>
  <si>
    <t>Shadow Tag</t>
  </si>
  <si>
    <t>Prevents the foe from escaping</t>
  </si>
  <si>
    <t>Infiltrator</t>
  </si>
  <si>
    <t>A wraith-like Pokémon with a shadowy body and red, piercing eyes that seem to glow.</t>
  </si>
  <si>
    <t>Fairy, Ghost</t>
  </si>
  <si>
    <t>Psychic, Dark, Ghost, Poison</t>
  </si>
  <si>
    <t>/imagine prompt:Shadowraith Regular Pokemon; Dark/Ghost; A wraith-like Pokémon with a shadowy body and red, piercing eyes that seem to glow.; detailed; pokemon style; anime style;vibrant colors;limited color palette --q 1.5</t>
  </si>
  <si>
    <t>Sleek, green, feline-like, leafy mane</t>
  </si>
  <si>
    <t>Fire, Ice, Poison, Flying, Bug</t>
  </si>
  <si>
    <t>RU</t>
  </si>
  <si>
    <t>/imagine prompt:Leaflinx Regular Pokemon; Grass/; Sleek, green, feline-like, leafy mane; detailed; pokemon style; anime style;vibrant colors;limited color palette --q 1.5</t>
  </si>
  <si>
    <t>Sand Rush</t>
  </si>
  <si>
    <t>Doubles Speed in a sandstorm</t>
  </si>
  <si>
    <t>Swarm</t>
  </si>
  <si>
    <t>A large, ant-like Pokémon with a hardened exoskeleton and powerful mandibles.</t>
  </si>
  <si>
    <t>Fire, Flying, Water, Ice</t>
  </si>
  <si>
    <t>Electric, Psychic, Rock, Poison</t>
  </si>
  <si>
    <t>/imagine prompt:Scuttlant Regular Pokemon; Bug/Ground; A large, ant-like Pokémon with a hardened exoskeleton and powerful mandibles.; detailed; pokemon style; anime style;vibrant colors;limited color palette --q 1.5</t>
  </si>
  <si>
    <t>Prismatic Camouflage</t>
  </si>
  <si>
    <t>Takes on the additional resistances of its last-used move's type</t>
  </si>
  <si>
    <t>A chameleon-like Pokémon with insect-like features, capable of changing colors and adapting to its environment.</t>
  </si>
  <si>
    <t>Fire, Flying, Rock</t>
  </si>
  <si>
    <t>Bug, Grass, Psychic, Dark</t>
  </si>
  <si>
    <t>/imagine prompt:Chamelebug Regular Pokemon; Bug/; A chameleon-like Pokémon with insect-like features, capable of changing colors and adapting to its environment.; detailed; pokemon style; anime style;vibrant colors;limited color palette --q 1.5</t>
  </si>
  <si>
    <t>Snow Warning</t>
  </si>
  <si>
    <t>Refractive Armor</t>
  </si>
  <si>
    <t>Refractive Armor: Raises the Pokémon's Special Defense by one stage when hit by a special move.</t>
  </si>
  <si>
    <t>Fire, Steel, Rock, Bug, Ghost, Dark</t>
  </si>
  <si>
    <t>Ice, Psychic, Flying, Grass</t>
  </si>
  <si>
    <t>/imagine prompt:Crystaleye Regular Pokemon; Ice/Psychic; Refractive Armor: Raises the Pokémon's Special Defense by one stage when hit by a special move.; detailed; pokemon style; anime style;vibrant colors;limited color palette --q 1.5</t>
  </si>
  <si>
    <t>Hydration</t>
  </si>
  <si>
    <t>Shark-like Pokémon with vibrant blue fins and a sleek body</t>
  </si>
  <si>
    <t>Electric, Grass</t>
  </si>
  <si>
    <t>Water, Fire, Ground, Rock</t>
  </si>
  <si>
    <t>/imagine prompt:Tidalfin Regular Pokemon; Water/; Shark-like Pokémon with vibrant blue fins and a sleek body; detailed; pokemon style; anime style;vibrant colors;limited color palette --q 1.5</t>
  </si>
  <si>
    <t>Battle Armor</t>
  </si>
  <si>
    <t>The Pokémon with this ability is protected from critical hits. This means that all moves used against the Pokémon will deal standard damage, never a critical hit that would deal increased damage.</t>
  </si>
  <si>
    <t>Sniper</t>
  </si>
  <si>
    <t>Scorpion-like creature with rocky exoskeleton and venomous stinger</t>
  </si>
  <si>
    <t>Water, Ground, Psychic, Steel</t>
  </si>
  <si>
    <t>Rock, Poison, Flying, Bug</t>
  </si>
  <si>
    <t>/imagine prompt:Rockscorpio Regular Pokemon; Rock/Poison; Scorpion-like creature with rocky exoskeleton and venomous stinger; detailed; pokemon style; anime style;vibrant colors;limited color palette --q 1.5</t>
  </si>
  <si>
    <t>Graceful, lotus-like Pokémon with petal wings and floating vines</t>
  </si>
  <si>
    <t>Fire, Ice, Poison, Flying, Rock, Bug</t>
  </si>
  <si>
    <t>Grass, Water, Ground, Fighting</t>
  </si>
  <si>
    <t>/imagine prompt:Skylotus Regular Pokemon; Grass/Flying; Graceful, lotus-like Pokémon with petal wings and floating vines; detailed; pokemon style; anime style;vibrant colors;limited color palette --q 1.5</t>
  </si>
  <si>
    <t>Powers up Bug moves when in trouble</t>
  </si>
  <si>
    <t>A larger leafy insect with multiple sharp horns</t>
  </si>
  <si>
    <t>Grass, Ground</t>
  </si>
  <si>
    <t>/imagine prompt:Leafdrillarch Regular Pokemon; Bug/Grass; A larger leafy insect with multiple sharp horns; detailed; pokemon style; anime style;vibrant colors;limited color palette --q 1.5</t>
  </si>
  <si>
    <t>Compound Eyes</t>
  </si>
  <si>
    <t>Large, icy blue butterfly with crystal-like wings and legs</t>
  </si>
  <si>
    <t>Fire, Rock, Steel, Flying</t>
  </si>
  <si>
    <t>Bug, Ice, Ground, Grass</t>
  </si>
  <si>
    <t>/imagine prompt:Frostifly Regular Pokemon; Bug/Ice; Large, icy blue butterfly with crystal-like wings and legs; detailed; pokemon style; anime style;vibrant colors;limited color palette --q 1.5</t>
  </si>
  <si>
    <t>Rivalry</t>
  </si>
  <si>
    <t>Bigger, leopard-like, flame patterns, agile</t>
  </si>
  <si>
    <t>Fire, Ice, Bug, Steel</t>
  </si>
  <si>
    <t>/imagine prompt:Blazeopard Regular Pokemon; Fire/; Bigger, leopard-like, flame patterns, agile; detailed; pokemon style; anime style;vibrant colors;limited color palette --q 1.5</t>
  </si>
  <si>
    <t>Larger fish, wings enlarged, feathery tail</t>
  </si>
  <si>
    <t>/imagine prompt:Wavewing Regular Pokemon; Water/Flying; Larger fish, wings enlarged, feathery tail; detailed; pokemon style; anime style;vibrant colors;limited color palette --q 1.5</t>
  </si>
  <si>
    <t>Shell Armor</t>
  </si>
  <si>
    <t>Bigger, more armored shell, wave-like patterns</t>
  </si>
  <si>
    <t>/imagine prompt:Surfrider Regular Pokemon; Water/; Bigger, more armored shell, wave-like patterns; detailed; pokemon style; anime style;vibrant colors;limited color palette --q 1.5</t>
  </si>
  <si>
    <t>Sap Sipper</t>
  </si>
  <si>
    <t>Dragon-like creature with a tree bark armor and foliage-covered tail</t>
  </si>
  <si>
    <t>Ice, Dragon, Fairy, Poison, Bug, Flying</t>
  </si>
  <si>
    <t>Dragon, Grass, Water</t>
  </si>
  <si>
    <t>/imagine prompt:Dracobark Regular Pokemon; Dragon/Grass; Dragon-like creature with a tree bark armor and foliage-covered tail; detailed; pokemon style; anime style;vibrant colors;limited color palette --q 1.5</t>
  </si>
  <si>
    <t>Leaf Guard</t>
  </si>
  <si>
    <t>Wolf-like, larger vines, grass fur, agile</t>
  </si>
  <si>
    <t>Fire, Ice, Poison, Flying</t>
  </si>
  <si>
    <t>Grass, Water, Ground</t>
  </si>
  <si>
    <t>/imagine prompt:Vinewolf Regular Pokemon; Grass/; Wolf-like, larger vines, grass fur, agile; detailed; pokemon style; anime style;vibrant colors;limited color palette --q 1.5</t>
  </si>
  <si>
    <t>When a Pokémon with this ability enters the battle, it causes hail to start, which lasts for 5 turns (8 turns if the Pokémon is holding an Icy Rock). Hail deals damage to all non-Ice-type Pokémon at the end of each turn and boosts the power of Ice-type moves by 50% for Ice-type Pokémon with the Slush Rush, Ice Body, or Snow Cloak abilities.</t>
  </si>
  <si>
    <t>Ghostly owl-like creature with icy feathers and chilling gaze</t>
  </si>
  <si>
    <t>Fire, Rock, Ghost, Dark, Steel</t>
  </si>
  <si>
    <t>Ice, Ghost, Psychic, Flying</t>
  </si>
  <si>
    <t>/imagine prompt:Frosthoot Regular Pokemon; Ice/Ghost; Ghostly owl-like creature with icy feathers and chilling gaze; detailed; pokemon style; anime style;vibrant colors;limited color palette --q 1.5</t>
  </si>
  <si>
    <t>Boosts Attack if there is a status condition.</t>
  </si>
  <si>
    <t>A raccoon-like Pokémon with tough, rugged fur and a strong tail.</t>
  </si>
  <si>
    <t>Water, Psychic, Ice, Flying, Grass</t>
  </si>
  <si>
    <t>Ground, Rock, Dark, Steel</t>
  </si>
  <si>
    <t>/imagine prompt:Terracoon Regular Pokemon; Ground/Fighting; A raccoon-like Pokémon with tough, rugged fur and a strong tail.; detailed; pokemon style; anime style;vibrant colors;limited color palette --q 1.5</t>
  </si>
  <si>
    <t>Shadowy, stone-like creature with glowing eyes and jagged edges</t>
  </si>
  <si>
    <t>Water, Grass, Ghost, Steel, Dark</t>
  </si>
  <si>
    <t>Ghost, Rock, Flying, Bug</t>
  </si>
  <si>
    <t>/imagine prompt:Shadestone Regular Pokemon; Ghost/Rock; Shadowy, stone-like creature with glowing eyes and jagged edges; detailed; pokemon style; anime style;vibrant colors;limited color palette --q 1.5</t>
  </si>
  <si>
    <t>Levitate</t>
  </si>
  <si>
    <t>Star-shaped Pokémon with a swirling, cosmic design</t>
  </si>
  <si>
    <t>Dark, Ghost, Bug</t>
  </si>
  <si>
    <t>Psychic, Fighting</t>
  </si>
  <si>
    <t>/imagine prompt:Starwhirl Regular Pokemon; Psychic/; Star-shaped Pokémon with a swirling, cosmic design; detailed; pokemon style; anime style;vibrant colors;limited color palette --q 1.5</t>
  </si>
  <si>
    <t>A larger, fierce dragon-like canine with a strong, sturdy body.</t>
  </si>
  <si>
    <t>/imagine prompt:Dracocanine Regular Pokemon; Dragon/Normal; A larger, fierce dragon-like canine with a strong, sturdy body.; detailed; pokemon style; anime style;vibrant colors;limited color palette --q 1.5</t>
  </si>
  <si>
    <t>A larger, hare-like Pokémon with a more pronounced crescent moon marking on its forehead. Its fur is even more radiant, and its ears are longer, giving it a graceful appearance.</t>
  </si>
  <si>
    <t>Steel, Poison</t>
  </si>
  <si>
    <t>Dark, Bug, Fighting</t>
  </si>
  <si>
    <t>/imagine prompt:Moonhare Regular Pokemon; Fairy/; A larger, hare-like Pokémon with a more pronounced crescent moon marking on its forehead. Its fur is even more radiant, and its ears are longer, giving it a graceful appearance.; detailed; pokemon style; anime style;vibrant colors;limited color palette --q 1.5</t>
  </si>
  <si>
    <t>Fluffy cloud-like creature with psychic energy and bird-like wings</t>
  </si>
  <si>
    <t>/imagine prompt:Psycloud Regular Pokemon; Psychic/Flying; Fluffy cloud-like creature with psychic energy and bird-like wings; detailed; pokemon style; anime style;vibrant colors;limited color palette --q 1.5</t>
  </si>
  <si>
    <t>Small, plump bird with icy feathers and a sharp beak</t>
  </si>
  <si>
    <t>/imagine prompt:Chillpeck Regular Pokemon; Ice/Flying; Small, plump bird with icy feathers and a sharp beak; detailed; pokemon style; anime style;vibrant colors;limited color palette --q 1.5</t>
  </si>
  <si>
    <t xml:space="preserve"> Small feline creature with a sun-shaped pattern on its fur and a fiery tail</t>
  </si>
  <si>
    <t>/imagine prompt: Solarkit Regular Pokemon;  Fire/ Normal;  Small feline creature with a sun-shaped pattern on its fur and a fiery tail; detailed; pokemon style; anime style;vibrant colors;limited color palette --q 1.5</t>
  </si>
  <si>
    <t xml:space="preserve"> Small feline creature with a moon-shaped pattern on its fur and a watery tail</t>
  </si>
  <si>
    <t>/imagine prompt: Tidalkit Regular Pokemon;  Water/ Normal;  Small feline creature with a moon-shaped pattern on its fur and a watery tail; detailed; pokemon style; anime style;vibrant colors;limited color palette --q 1.5</t>
  </si>
  <si>
    <t xml:space="preserve"> Static</t>
  </si>
  <si>
    <t xml:space="preserve"> Galvanize</t>
  </si>
  <si>
    <t xml:space="preserve"> Small feline creature with a lightning bolt-shaped pattern on its fur and an electric tail</t>
  </si>
  <si>
    <t xml:space="preserve"> Ground, Fighting</t>
  </si>
  <si>
    <t xml:space="preserve"> Electric, Normal, Psychic</t>
  </si>
  <si>
    <t>/imagine prompt: Stormkit Regular Pokemon;  Electric/ Normal;  Small feline creature with a lightning bolt-shaped pattern on its fur and an electric tail; detailed; pokemon style; anime style;vibrant colors;limited color palette --q 1.5</t>
  </si>
  <si>
    <t>Unburden</t>
  </si>
  <si>
    <t>Bigger, bat-like wings, sharp fangs, darker</t>
  </si>
  <si>
    <t>/imagine prompt:Windfang Regular Pokemon; Dark/Flying; Bigger, bat-like wings, sharp fangs, darker; detailed; pokemon style; anime style;vibrant colors;limited color palette --q 1.5</t>
  </si>
  <si>
    <t>Serpent-like creature with hypnotic patterns on its scales</t>
  </si>
  <si>
    <t>/imagine prompt:Slumbersnake Regular Pokemon; Psychic/Poison; Serpent-like creature with hypnotic patterns on its scales; detailed; pokemon style; anime style;vibrant colors;limited color palette --q 1.5</t>
  </si>
  <si>
    <t xml:space="preserve"> Prehistoric creature resembling a woolly rhinoceros with crystalline spikes</t>
  </si>
  <si>
    <t>/imagine prompt: Aurorox Regular Pokemon;  Ice/ Rock;  Prehistoric creature resembling a woolly rhinoceros with crystalline spikes; detailed; pokemon style; anime style;vibrant colors;limited color palette --q 1.5</t>
  </si>
  <si>
    <t>A turtle with a rock-like shell</t>
  </si>
  <si>
    <t>/imagine prompt:Stoneshell Regular Pokemon; Rock/Water; A turtle with a rock-like shell; detailed; pokemon style; anime style;vibrant colors;limited color palette --q 1.5</t>
  </si>
  <si>
    <t>Small bird with electrically charged feathers and wind-shaped wings</t>
  </si>
  <si>
    <t>/imagine prompt:Galewing Regular Pokemon; Electric/Flying; Small bird with electrically charged feathers and wind-shaped wings; detailed; pokemon style; anime style;vibrant colors;limited color palette --q 1.5</t>
  </si>
  <si>
    <t>A mushroom-like creature with a colorful cap and a mischievous grin.</t>
  </si>
  <si>
    <t>/imagine prompt:Fungoom Regular Pokemon; Poison/Grass; A mushroom-like creature with a colorful cap and a mischievous grin.; detailed; pokemon style; anime style;vibrant colors;limited color palette --q 1.5</t>
  </si>
  <si>
    <t>A waterfowl-like Pokémon with inflatable pouches and vibrant plumage.</t>
  </si>
  <si>
    <t>/imagine prompt:Tidaloon Regular Pokemon; Water/Flying; A waterfowl-like Pokémon with inflatable pouches and vibrant plumage.; detailed; pokemon style; anime style;vibrant colors;limited color palette --q 1.5</t>
  </si>
  <si>
    <t>Toxic Boost</t>
  </si>
  <si>
    <t>Insect-like creature with poisonous wings and a stinger</t>
  </si>
  <si>
    <t>Fire, Flying, Rock, Psychic</t>
  </si>
  <si>
    <t>Bug, Grass, Fairy, Fighting</t>
  </si>
  <si>
    <t>Toxifly</t>
  </si>
  <si>
    <t>/imagine prompt:Venomwing Regular Pokemon; Bug/Poison; Insect-like creature with poisonous wings and a stinger; detailed; pokemon style; anime style;vibrant colors;limited color palette --q 1.5</t>
  </si>
  <si>
    <t>Flame-like creature with ghostly features and eerie glow</t>
  </si>
  <si>
    <t>/imagine prompt:Wispflare Regular Pokemon; Fire/Ghost; Flame-like creature with ghostly features and eerie glow; detailed; pokemon style; anime style;vibrant colors;limited color palette --q 1.5</t>
  </si>
  <si>
    <t>Small, fish-like Pokémon with shimmering, iridescent scales</t>
  </si>
  <si>
    <t>/imagine prompt:Glimmerfin Regular Pokemon; Water/Fairy; Small, fish-like Pokémon with shimmering, iridescent scales; detailed; pokemon style; anime style;vibrant colors;limited color palette --q 1.5</t>
  </si>
  <si>
    <t>Red and purple salamander with flaming body and poisonous barbs</t>
  </si>
  <si>
    <t>/imagine prompt:Pyroscorch Regular Pokemon; Fire/Poison; Red and purple salamander with flaming body and poisonous barbs; detailed; pokemon style; anime style;vibrant colors;limited color palette --q 1.5</t>
  </si>
  <si>
    <t>Echo Chamber</t>
  </si>
  <si>
    <t>Copies the last move used by the opponent for 3 turns</t>
  </si>
  <si>
    <t>Prankster</t>
  </si>
  <si>
    <t>A small, furry Pokémon with large ears that resemble satellite dishes, capable of picking up distant sounds.</t>
  </si>
  <si>
    <t>Fighting, Bug, Dark</t>
  </si>
  <si>
    <t>Psychic, Normal</t>
  </si>
  <si>
    <t>/imagine prompt:Echotangle Regular Pokemon; Normal/Psychic; A small, furry Pokémon with large ears that resemble satellite dishes, capable of picking up distant sounds.; detailed; pokemon style; anime style;vibrant colors;limited color palette --q 1.5</t>
  </si>
  <si>
    <t>Dragon-like raccoon with large fangs and scales</t>
  </si>
  <si>
    <t>Ice, Dragon, Fairy</t>
  </si>
  <si>
    <t>Dragon, Fire, Water, Electric, Grass</t>
  </si>
  <si>
    <t>/imagine prompt:Dracoon Regular Pokemon; Dragon/; Dragon-like raccoon with large fangs and scales; detailed; pokemon style; anime style;vibrant colors;limited color palette --q 1.5</t>
  </si>
  <si>
    <t>Rain Dish</t>
  </si>
  <si>
    <t>Small blue fish, streamlined body, fin-like wings</t>
  </si>
  <si>
    <t>NU</t>
  </si>
  <si>
    <t>/imagine prompt:Aquaswift Regular Pokemon; Water/; Small blue fish, streamlined body, fin-like wings; detailed; pokemon style; anime style;vibrant colors;limited color palette --q 1.5</t>
  </si>
  <si>
    <t>Small, red, armadillo-like, lava-like armor</t>
  </si>
  <si>
    <t>/imagine prompt:Lavadillo Regular Pokemon; Fire/; Small, red, armadillo-like, lava-like armor; detailed; pokemon style; anime style;vibrant colors;limited color palette --q 1.5</t>
  </si>
  <si>
    <t>Small, brown puppy with clay-like fur and playful nature</t>
  </si>
  <si>
    <t>/imagine prompt:Claypup Regular Pokemon; Ground/; Small, brown puppy with clay-like fur and playful nature; detailed; pokemon style; anime style;vibrant colors;limited color palette --q 1.5</t>
  </si>
  <si>
    <t>Run Away</t>
  </si>
  <si>
    <t>Fiery red fawn, horn on forehead, flame tail</t>
  </si>
  <si>
    <t>/imagine prompt:Emberhorn Regular Pokemon; Fire/; Fiery red fawn, horn on forehead, flame tail; detailed; pokemon style; anime style;vibrant colors;limited color palette --q 1.5</t>
  </si>
  <si>
    <t>A leafy insect with a sharp, drill-like horn</t>
  </si>
  <si>
    <t>/imagine prompt:Leafdriller Regular Pokemon; Bug/Grass; A leafy insect with a sharp, drill-like horn; detailed; pokemon style; anime style;vibrant colors;limited color palette --q 1.5</t>
  </si>
  <si>
    <t>Small, blue turtle, metallic shell, round</t>
  </si>
  <si>
    <t>/imagine prompt:Aquaturtle Regular Pokemon; Water/; Small, blue turtle, metallic shell, round; detailed; pokemon style; anime style;vibrant colors;limited color palette --q 1.5</t>
  </si>
  <si>
    <t>Small fiery kitten, black spots, agile</t>
  </si>
  <si>
    <t>/imagine prompt:Pyrokit Regular Pokemon; Fire/; Small fiery kitten, black spots, agile; detailed; pokemon style; anime style;vibrant colors;limited color palette --q 1.5</t>
  </si>
  <si>
    <t>A small, cute dragon with a shimmering tail</t>
  </si>
  <si>
    <t>/imagine prompt:Glimmertail Regular Pokemon; Dragon/Fairy; A small, cute dragon with a shimmering tail; detailed; pokemon style; anime style;vibrant colors;limited color palette --q 1.5</t>
  </si>
  <si>
    <t>Small, green, feline-like, leafy tail</t>
  </si>
  <si>
    <t>/imagine prompt:Fernile Regular Pokemon; Grass/; Small, green, feline-like, leafy tail; detailed; pokemon style; anime style;vibrant colors;limited color palette --q 1.5</t>
  </si>
  <si>
    <t>Pickup</t>
  </si>
  <si>
    <t>Green, leafy puppy, small vines, playful</t>
  </si>
  <si>
    <t>/imagine prompt:Leafpup Regular Pokemon; Grass/; Green, leafy puppy, small vines, playful; detailed; pokemon style; anime style;vibrant colors;limited color palette --q 1.5</t>
  </si>
  <si>
    <t>Small sun-shaped body, arrow-like tail</t>
  </si>
  <si>
    <t>/imagine prompt:Sunquiver Regular Pokemon; Fire/; Small sun-shaped body, arrow-like tail; detailed; pokemon style; anime style;vibrant colors;limited color palette --q 1.5</t>
  </si>
  <si>
    <t>Icy blue insect with crystal-like wings and legs</t>
  </si>
  <si>
    <t>/imagine prompt:Crystabug Regular Pokemon; Bug/Ice; Icy blue insect with crystal-like wings and legs; detailed; pokemon style; anime style;vibrant colors;limited color palette --q 1.5</t>
  </si>
  <si>
    <t>A small, playful dragon-like puppy with fluffy fur and large ears.</t>
  </si>
  <si>
    <t>/imagine prompt:Dracopup Regular Pokemon; Dragon/Normal; A small, playful dragon-like puppy with fluffy fur and large ears.; detailed; pokemon style; anime style;vibrant colors;limited color palette --q 1.5</t>
  </si>
  <si>
    <t>Dark grey puppy, wind-like patterns, swift</t>
  </si>
  <si>
    <t>Fighting, Bug, Fairy</t>
  </si>
  <si>
    <t>Psychic, Ghost, Dark</t>
  </si>
  <si>
    <t>PU</t>
  </si>
  <si>
    <t>/imagine prompt:Breezepup Regular Pokemon; Dark/; Dark grey puppy, wind-like patterns, swift; detailed; pokemon style; anime style;vibrant colors;limited color palette --q 1.5</t>
  </si>
  <si>
    <t>A small, rabbit-like Pokémon with a crescent moon marking on its forehead. It has large, gentle eyes and soft fur that shimmers in moonlight.</t>
  </si>
  <si>
    <t>/imagine prompt:Moonkit Regular Pokemon; Fairy/; A small, rabbit-like Pokémon with a crescent moon marking on its forehead. It has large, gentle eyes and soft fur that shimmers in moonlight.; detailed; pokemon style; anime style;vibrant colors;limited color palette --q 1.5</t>
  </si>
  <si>
    <t>Temporal Mastery</t>
  </si>
  <si>
    <t>Temporal Mastery is a unique ability that increases the power of Fairy and Ghost-type moves by 50% for Eternalance. Additionally, when Eternalance enters the battle, it triggers a Time Rift effect that lasts for five turns. This Time Rift causes all moves with a charging turn (such as Solar Beam or Sky Attack) to execute instantly and doubles the chances of secondary effects for moves used by Fairy and Ghost-type Pokémon on the field.</t>
  </si>
  <si>
    <t>Pressure</t>
  </si>
  <si>
    <t>Enigmatic creature, ethereal wings, ancient runes</t>
  </si>
  <si>
    <t>Steel, Ghost, Dark</t>
  </si>
  <si>
    <t>Fairy, Ghost, Psychic</t>
  </si>
  <si>
    <t>Uber</t>
  </si>
  <si>
    <t>https://cdn.midjourney.com/50a2e957-2e4e-4245-b4ef-89bd81f3a482/0_2.png</t>
  </si>
  <si>
    <t>/imagine prompt:Eternalance Legendary Pokemon; Fairy/Ghost; Enigmatic creature, ethereal wings, ancient runes; detailed; pokemon style; anime style;vibrant colors;limited color palette --q 1.5</t>
  </si>
  <si>
    <t>Terra Mastery</t>
  </si>
  <si>
    <t>Terra Mastery is a unique ability that increases the power of Ground and Dragon-type moves by 50% for Terraguardian. Additionally, when Terraguardian enters the battle, it triggers an Earthly Aura effect that lasts for five turns. This Earthly Aura increases the Defense and Special Defense of all Ground and Dragon-type Pokémon on the field by 50%.</t>
  </si>
  <si>
    <t>Earthy dragon, massive wings, stone armor</t>
  </si>
  <si>
    <t>Ground, Rock, Dragon</t>
  </si>
  <si>
    <t>https://cdn.midjourney.com/876a059b-f6d8-4099-b230-56c794a77956/0_2.png</t>
  </si>
  <si>
    <t>/imagine prompt:Terraguardian Legendary Pokemon; Ground/Dragon; Earthy dragon, massive wings, stone armor; detailed; pokemon style; anime style;vibrant colors;limited color palette --q 1.5</t>
  </si>
  <si>
    <t>Celestial Mastery</t>
  </si>
  <si>
    <t>Celestial Mastery is a unique ability that increases the power of Psychic and Electric-type moves by 50% for Celestistorm. Additionally, when Celestistorm enters the battle, it triggers a Cosmic Storm effect that lasts for five turns. This Cosmic Storm creates an electrically charged and psychic energy-infused field, causing Electric and Psychic-type moves to have a 30% chance of causing the target to flinch.</t>
  </si>
  <si>
    <t>Ethereal bird, electric aura, star-like wings</t>
  </si>
  <si>
    <t>Bug, Ghost, Dark, Ground</t>
  </si>
  <si>
    <t>Psychic, Electric</t>
  </si>
  <si>
    <t>https://cdn.midjourney.com/256ed32a-3aef-4d62-bfff-a05859ff666d/0_1.png</t>
  </si>
  <si>
    <t>/imagine prompt:Celestistorm Legendary Pokemon; Psychic/Electric; Ethereal bird, electric aura, star-like wings; detailed; pokemon style; anime style;vibrant colors;limited color palette --q 1.5</t>
  </si>
  <si>
    <t>Large, green, feline-like, leafy mane, sharp claws</t>
  </si>
  <si>
    <t>https://media.discordapp.net/attachments/1083362848203354193/1090370243395854476/Chtibidi_Foliaguar_is_a_large_sleek_feline-like_Pokemon_with_a__eb9e38bc-531f-4fd5-bc93-4119ac6ce9cf.png?width=897&amp;height=897</t>
  </si>
  <si>
    <t>/imagine prompt:Foliaguar Regular Pokemon; Grass/; Large, green, feline-like, leafy mane, sharp claws; detailed; pokemon style; anime style;vibrant colors;limited color palette --q 1.5</t>
  </si>
  <si>
    <t>massive, majestic dragon Pokémon with a unique fusion of flora and fauna in its design. Its body is primarily covered in tree bark armor, giving it a rugged and ancient appearance. This natural armor provides excellent protection and camouflage in forest environments. Arborwyrm's head is adorned with a forest-like mane consisting of leaves, vines, and branches, which extend down its long, serpentine neck.</t>
  </si>
  <si>
    <t>https://cdn.discordapp.com/attachments/1083362848203354193/1090981653746303046/Chtibidi_Arborwyrm_Regular_Pokemon_DragonGrass_massive_majestic_fe46cabc-85b2-4803-849d-441ed7ee7dc4.png</t>
  </si>
  <si>
    <t>/imagine prompt:Arborwyrm Regular Pokemon; Dragon/Grass; massive, majestic dragon Pokémon with a unique fusion of flora and fauna in its design. Its body is primarily covered in tree bark armor, giving it a rugged and ancient appearance. This natural armor provides excellent protection and camouflage in forest environments. Arborwyrm's head is adorned with a forest-like mane consisting of leaves, vines, and branches, which extend down its long, serpentine neck.; detailed; pokemon style; anime style;vibrant colors;limited color palette --q 1.5</t>
  </si>
  <si>
    <t>Air Lock</t>
  </si>
  <si>
    <t>Plasmawing is a larger owl-like Pokémon with vibrant electric plumage, giving it an energetic appearance. Its feathers are primarily yellow and blue, with patterns resembling lightning bolts running through them. It has piercing, bright blue eyes and sharp, menacing talons capable of delivering powerful electric shocks. Its wings are broad and powerful, allowing for swift and agile flight. Plasmawing's tail is long and elegant, with feathers that resemble electric sparks, helping it to maintain balance and control during flight. Its beak is sharp and hooked, perfect for hunting prey in the air. The combination of its electric plumage and impressive wingspan creates an awe-inspiring visual display during battle, with sparks and flashes of electricity emanating from its body.</t>
  </si>
  <si>
    <t>Electric, Ice, Rock</t>
  </si>
  <si>
    <t>Electric, Flying, Water, Bug</t>
  </si>
  <si>
    <t>https://cdn.discordapp.com/attachments/1083362848203354193/1090979200468529162/Chtibidi_Plasmawing_is_a_large_owl-like_Pokemon_with_vibrant_el_b44aa226-c26e-4ba9-8046-ff0370802cc2.png</t>
  </si>
  <si>
    <t>/imagine prompt:Plasmawing Regular Pokemon; Electric/Flying; Plasmawing is a larger owl-like Pokémon with vibrant electric plumage, giving it an energetic appearance. Its feathers are primarily yellow and blue, with patterns resembling lightning bolts running through them. It has piercing, bright blue eyes and sharp, menacing talons capable of delivering powerful electric shocks. Its wings are broad and powerful, allowing for swift and agile flight. Plasmawing's tail is long and elegant, with feathers that resemble electric sparks, helping it to maintain balance and control during flight. Its beak is sharp and hooked, perfect for hunting prey in the air. The combination of its electric plumage and impressive wingspan creates an awe-inspiring visual display during battle, with sparks and flashes of electricity emanating from its body.; detailed; pokemon style; anime style;vibrant colors;limited color palette --q 1.5</t>
  </si>
  <si>
    <t>Lunar Blessing</t>
  </si>
  <si>
    <t>Heals the Pokémon by 1/16 of its maximum HP every turn in moonlight.</t>
  </si>
  <si>
    <t>A crescent moon-shaped Pokémon with a mystical, dark aura, and fairy energy shimmering across its form.</t>
  </si>
  <si>
    <t>Poison, Steel, Fairy, Bug</t>
  </si>
  <si>
    <t>Psychic, Dark, Dragon, Ghost</t>
  </si>
  <si>
    <t>https://cdn.midjourney.com/ba44676c-1625-4149-bdf7-ebac1b020db0/0_3.png</t>
  </si>
  <si>
    <t>/imagine prompt:Lunarisade Legendary Pokemon; Dark/Fairy; A crescent moon-shaped Pokémon with a mystical, dark aura, and fairy energy shimmering across its form.; detailed; pokemon style; anime style;vibrant colors;limited color palette --q 1.5</t>
  </si>
  <si>
    <t>Stormbringer</t>
  </si>
  <si>
    <t>Summons a thunderstorm when entering battle, powering up Flying-type and Electric-type moves.</t>
  </si>
  <si>
    <t>A bird-like Pokémon with storm cloud wings that crackle with lightning, and a fierce, commanding presence.</t>
  </si>
  <si>
    <t>Rock, Ice, Electric</t>
  </si>
  <si>
    <t>Flying, Electric, Bug, Grass, Fighting</t>
  </si>
  <si>
    <t>https://media.discordapp.net/attachments/1083362848203354193/1090374088733774025/Chtibidi_Tempustorm_is_a_bird-like_Legendary_Pokemon_with_a_str_d0f4ef64-7ddb-44d3-a5af-5b1830891e08.png?width=897&amp;height=897</t>
  </si>
  <si>
    <t>/imagine prompt:Tempustorm Legendary Pokemon; Flying/Electric; A bird-like Pokémon with storm cloud wings that crackle with lightning, and a fierce, commanding presence.; detailed; pokemon style; anime style;vibrant colors;limited color palette --q 1.5</t>
  </si>
  <si>
    <t>Solar Flare</t>
  </si>
  <si>
    <t>Raises the power of Fire-type and Psychic-type moves by 50% in sunlight.</t>
  </si>
  <si>
    <t>A majestic, sun-shaped Pokémon with a fiery, radiant aura, and psychic energy emanating from its core.</t>
  </si>
  <si>
    <t>Dark, Ground, Rock, Water, Ghost</t>
  </si>
  <si>
    <t>Psychic, Fire, Grass, Bug, Ice</t>
  </si>
  <si>
    <t>https://cdn.discordapp.com/attachments/1083362848203354193/1090386203926331402/Chtibidi_A_majestic_sun-shaped_Pokemon_with_a_fiery_radiant_aur_e9919877-1e6b-4e04-829c-cd852806c9c6.png</t>
  </si>
  <si>
    <t>/imagine prompt:Solarnova Legendary Pokemon; Psychic/Fire; A majestic, sun-shaped Pokémon with a fiery, radiant aura, and psychic energy emanating from its core.; detailed; pokemon style; anime style;vibrant colors;limited color palette --q 1.5</t>
  </si>
  <si>
    <t>Dream Weaver</t>
  </si>
  <si>
    <t>Puts opposing Pokémon to sleep when they switch in, with a 30% chance to succeed.</t>
  </si>
  <si>
    <t>A small, delicate Pokémon with a glowing, star-shaped body and shimmering wings. Its celestial beauty and enchanting form inspire awe and wonder in those who encounter it.</t>
  </si>
  <si>
    <t>Poison, Steel, Ghost, Dark</t>
  </si>
  <si>
    <t>Fighting, Psychic, Dragon</t>
  </si>
  <si>
    <t>Mythical</t>
  </si>
  <si>
    <t>https://media.discordapp.net/attachments/1083362848203354193/1090690437163008151/Chtibidi_small_delicate_FairyPsychic_type_Pokemon_glowing_star-_527e8dc2-2db4-4f88-b17a-547b6f814741.png?width=897&amp;height=897</t>
  </si>
  <si>
    <t>/imagine prompt:Luminaria Mythical Pokemon; Fairy/Psychic; A small, delicate Pokémon with a glowing, star-shaped body and shimmering wings. Its celestial beauty and enchanting form inspire awe and wonder in those who encounter it.; detailed; pokemon style; anime style;vibrant colors;limited color palette --q 1.5</t>
  </si>
  <si>
    <t>Serene Aura</t>
  </si>
  <si>
    <t>Boosts the power of Water-type and Fairy-type moves by 50% when HP is below 1/2.</t>
  </si>
  <si>
    <t>A serene cloud-like Pokémon with a gentle, glowing aura and soft, wispy features. Its calming presence and ethereal appearance evoke feelings of peace and tranquility.</t>
  </si>
  <si>
    <t>Poison, Steel, Electric</t>
  </si>
  <si>
    <t>Fire, Water, Fighting, Dark</t>
  </si>
  <si>
    <t>https://cdn.discordapp.com/attachments/1083362848203354193/1090387169408974970/Chtibidi_A_serene_cloud-like_FairyPsychic_type_Pokemon_with_a_g_880e0609-b803-4255-bfb9-224bcd05fec0.png</t>
  </si>
  <si>
    <t>/imagine prompt:Serenimbus Mythical Pokemon; Water/Fairy; A serene cloud-like Pokémon with a gentle, glowing aura and soft, wispy features. Its calming presence and ethereal appearance evoke feelings of peace and tranquility.; detailed; pokemon style; anime style;vibrant colors;limited color palette --q 1.5</t>
  </si>
  <si>
    <t>Stardance is an elegant, star-shaped Pokémon that embodies the beauty and mystery of the cosmos. Its psychic and fairy attributes are reflected in its stunning swirling cosmic design, which adorns its entire body, reminiscent of a galaxy filled with twinkling stars. Delicate, fairy-like wings extend from its sides, shimmering with iridescent colors and allowing it to float gracefully through the air. Its large, expressive eyes sparkle like distant stars, captivating all who gaze upon it.</t>
  </si>
  <si>
    <t>Dark, Ghost, Steel, Poison</t>
  </si>
  <si>
    <t>Psychic, Fighting, Dragon</t>
  </si>
  <si>
    <t>https://cdn.discordapp.com/attachments/1083362848203354193/1090993701200859146/Chtibidi_Stardance_Regular_Pokemon_PsychicFairy_Stardance_is_an_98a8e1b8-496d-4bb8-97e9-23985368cc1d.png</t>
  </si>
  <si>
    <t>/imagine prompt:Stardance Regular Pokemon; Psychic/Fairy; Stardance is an elegant, star-shaped Pokémon that embodies the beauty and mystery of the cosmos. Its psychic and fairy attributes are reflected in its stunning swirling cosmic design, which adorns its entire body, reminiscent of a galaxy filled with twinkling stars. Delicate, fairy-like wings extend from its sides, shimmering with iridescent colors and allowing it to float gracefully through the air. Its large, expressive eyes sparkle like distant stars, captivating all who gaze upon it. ; detailed; pokemon style; anime style;vibrant colors;limited color palette --q 1.5</t>
  </si>
  <si>
    <t>Earth Barrier</t>
  </si>
  <si>
    <t>When hit by a Ground or Poison move, raises Speed by one stage</t>
  </si>
  <si>
    <t>A serpentine Pokémon with rocky scales and venomous fangs. Its sinuous form and deadly glare strike fear into its adversaries.</t>
  </si>
  <si>
    <t>Ground, Poison</t>
  </si>
  <si>
    <t>https://cdn.discordapp.com/attachments/1083362848203354193/1090777736659869746/Chtibidi_Terravipera_Legendary_Pokemon_GroundPoison_A_serpentin_4a5f4305-c5bc-4eb8-94ec-dbe3603ab69e.png</t>
  </si>
  <si>
    <t>/imagine prompt:Terravipera Legendary Pokemon; Ground/Poison; A serpentine Pokémon with rocky scales and venomous fangs. Its sinuous form and deadly glare strike fear into its adversaries.; detailed; pokemon style; anime style;vibrant colors;limited color palette --q 1.5</t>
  </si>
  <si>
    <t>Terracrusher is a large, powerful raccoon-like Pokémon with an intimidating presence. This Ground and Fighting-type creature boasts a muscular build, and its thick, rugged fur provides additional protection during battles. Its most striking features are the massive arms, equipped with powerful fists that pack a devastating punch. Its fierce eyes and determined expression demonstrate its readiness to dominate in combat, making Terracrusher a formidable opponent for any challenger.</t>
  </si>
  <si>
    <t>https://cdn.discordapp.com/attachments/1083362848203354193/1091017144516481105/Chtibidi_Terracrusher_Regular_Pokemon_GroundFighting_Terracrush_14a322fc-ecb7-40e7-8a50-dbb51190a923.png</t>
  </si>
  <si>
    <t>/imagine prompt:Terracrusher Regular Pokemon; Ground/Fighting; Terracrusher is a large, powerful raccoon-like Pokémon with an intimidating presence. This Ground and Fighting-type creature boasts a muscular build, and its thick, rugged fur provides additional protection during battles. Its most striking features are the massive arms, equipped with powerful fists that pack a devastating punch. Its fierce eyes and determined expression demonstrate its readiness to dominate in combat, making Terracrusher a formidable opponent for any challenger.; detailed; pokemon style; anime style;vibrant colors;limited color palette --q 1.5</t>
  </si>
  <si>
    <t>Thunderouge is an impressive large feline Pokémon with a unique Electric and Normal typing. Its sleek, agile body is adorned with a striking lightning bolt-shaped pattern that runs along its fur, giving it an electrifying appearance. The crackling electric tail not only serves as a powerful weapon but also adds to Thunderouge's captivating presence. Its keen eyes and agile movements reflect the speed and power it possesses.</t>
  </si>
  <si>
    <t>https://cdn.discordapp.com/attachments/1083362848203354193/1091110801781301359/image.png</t>
  </si>
  <si>
    <t>/imagine prompt: Thunderouge Regular Pokemon;  Electric/ Normal; Thunderouge is an impressive large feline Pokémon with a unique Electric and Normal typing. Its sleek, agile body is adorned with a striking lightning bolt-shaped pattern that runs along its fur, giving it an electrifying appearance. The crackling electric tail not only serves as a powerful weapon but also adds to Thunderouge's captivating presence. Its keen eyes and agile movements reflect the speed and power it possesses.; detailed; pokemon style; anime style;vibrant colors;limited color palette --q 1.5</t>
  </si>
  <si>
    <t>Nebulous Drift</t>
  </si>
  <si>
    <t>This Pokémon's evasiveness increases in foggy or misty conditions.</t>
  </si>
  <si>
    <t>A ghostly, swirling cloud of mist and dark energy with ethereal wings. Its eerie and haunting presence is both intriguing and unsettling.</t>
  </si>
  <si>
    <t>Ghost, Flying, Psychic, Grass</t>
  </si>
  <si>
    <t>https://cdn.discordapp.com/attachments/1083362848203354193/1090780525234503681/Chtibidi_Nebulavale_Legendary_Pokemon_GhostFlying_A_ghostly_swi_170b87d2-80bd-440e-adf6-04c8a6f862e5.png</t>
  </si>
  <si>
    <t>/imagine prompt:Nebulavale Legendary Pokemon; Ghost/Flying; A ghostly, swirling cloud of mist and dark energy with ethereal wings. Its eerie and haunting presence is both intriguing and unsettling.; detailed; pokemon style; anime style;vibrant colors;limited color palette --q 1.5</t>
  </si>
  <si>
    <t>Galactic Surge</t>
  </si>
  <si>
    <t>Electric-type and Steel-type moves have a 30% chance to paralyze opponents.</t>
  </si>
  <si>
    <t>A sleek, metallic Pokémon resembling a futuristic spacecraft, adorned with glowing electric circuits.</t>
  </si>
  <si>
    <t>Electric, Steel, Flying, Fairy</t>
  </si>
  <si>
    <t>https://cdn.discordapp.com/attachments/1083362848203354193/1090778726238793768/Chtibidi_Galacteon_Legendary_Pokemon_SteelElectric_A_sleek_meta_3bca7b1c-61cf-406d-a507-f8bafb297b67.png</t>
  </si>
  <si>
    <t>/imagine prompt:Galacteon Legendary Pokemon; Steel/Electric; A sleek, metallic Pokémon resembling a futuristic spacecraft, adorned with glowing electric circuits.; detailed; pokemon style; anime style;vibrant colors;limited color palette --q 1.5</t>
  </si>
  <si>
    <t>Torrent Barrier</t>
  </si>
  <si>
    <t>When hit by a Water or Ice move, raises Special Attack by one stage</t>
  </si>
  <si>
    <t>Aquatic tiger, icy fur, frosty fangs</t>
  </si>
  <si>
    <t>Electric, Grass, Fighting, Rock</t>
  </si>
  <si>
    <t>Water, Ice</t>
  </si>
  <si>
    <t>https://cdn.discordapp.com/attachments/1083362848203354193/1090774352619900949/Chtibidi_Hydrotigris_Legendary_Pokemon_Water_Aquatic_tiger_icy__46c800c6-fd9d-425c-bb22-e7390f6e89be.png</t>
  </si>
  <si>
    <t>/imagine prompt:Hydrotigris Legendary Pokemon; Water/Ice; Aquatic tiger, icy fur, frosty fangs; detailed; pokemon style; anime style;vibrant colors;limited color palette --q 1.5</t>
  </si>
  <si>
    <t>Blaze Barrier</t>
  </si>
  <si>
    <t>When hit by a Fire or Steel move, raises Attack by one stage</t>
  </si>
  <si>
    <t>Fiery lion, metallic mane, ember-filled eyes</t>
  </si>
  <si>
    <t>Fire, Steel, Bug</t>
  </si>
  <si>
    <t>https://media.discordapp.net/attachments/1083362848203354193/1090771751195136101/Chtibidi_Pyroscalion_Legendary_Pokemon_Fire_Fiery_lion_metallic_288836ea-ef40-4995-9848-95faa0e68c5c.png?width=897&amp;height=897</t>
  </si>
  <si>
    <t>/imagine prompt:Pyroscalion Legendary Pokemon; Fire/Steel; Fiery lion, metallic mane, ember-filled eyes; detailed; pokemon style; anime style;vibrant colors;limited color palette --q 1.5</t>
  </si>
  <si>
    <t>Time Keeper</t>
  </si>
  <si>
    <t>Heals the Pokémon by 1/16 of its maximum HP every turn when Trick Room is active.</t>
  </si>
  <si>
    <t>An ancient, mysterious stone-like Pokémon with time-representing inscriptions. Its enigmatic nature sparks curiosity and fascination.</t>
  </si>
  <si>
    <t>Water, Grass, Bug, Ghost, Dark, Steel</t>
  </si>
  <si>
    <t>Psychic, Rock, Flying, Poison, Fire</t>
  </si>
  <si>
    <t>https://cdn.discordapp.com/attachments/1083362848203354193/1090781368595796058/Chtibidi_Chronalith_Legendary_Pokemon_PsychicRock_An_ancient_my_cbd45d0a-853c-45bc-9475-6196e963ded4.png</t>
  </si>
  <si>
    <t>/imagine prompt:Chronalith Legendary Pokemon; Psychic/Rock; An ancient, mysterious stone-like Pokémon with time-representing inscriptions. Its enigmatic nature sparks curiosity and fascination.; detailed; pokemon style; anime style;vibrant colors;limited color palette --q 1.5</t>
  </si>
  <si>
    <t>Floraflame</t>
  </si>
  <si>
    <t>Boosts the power of Fire-type and Grass-type moves by 50% when HP is below 1/3.</t>
  </si>
  <si>
    <t>A fiery phoenix with a trail of vibrant, blooming flowers, symbolizing rebirth and growth. Its stunning form and brilliant colors inspire awe.</t>
  </si>
  <si>
    <t>Fire, Flying, Poison, Rock, Water, Ice</t>
  </si>
  <si>
    <t>Fire, Grass, Ground, Fairy, Bug</t>
  </si>
  <si>
    <t>https://cdn.discordapp.com/attachments/1083362848203354193/1090781528621064212/Chtibidi_Floraphoenix_Legendary_Pokemon_FireGrass_A_fiery_phoen_5e610df1-7618-4a02-881f-82bb36d987e7.png</t>
  </si>
  <si>
    <t>/imagine prompt:Floraphoenix Legendary Pokemon; Fire/Grass; A fiery phoenix with a trail of vibrant, blooming flowers, symbolizing rebirth and growth. Its stunning form and brilliant colors inspire awe.; detailed; pokemon style; anime style;vibrant colors;limited color palette --q 1.5</t>
  </si>
  <si>
    <t>Owl-like Pokémon with electric plumage and sharp talons</t>
  </si>
  <si>
    <t>https://cdn.discordapp.com/attachments/1083362848203354193/1090978757210284163/Chtibidi_Plasmawing_Regular_Pokemon_ElectricFlying_Plasmawing_i_8aa83f49-574a-43ec-acaa-a727e8ad61e8.png</t>
  </si>
  <si>
    <t>/imagine prompt:Electrowl Regular Pokemon; Electric/Flying; Owl-like Pokémon with electric plumage and sharp talons; detailed; pokemon style; anime style;vibrant colors;limited color palette --q 1.5</t>
  </si>
  <si>
    <t>MovePool Size</t>
  </si>
  <si>
    <t>MoveList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</si>
</sst>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 x14ac:knownFonts="1">
    <font>
      <sz val="11"/>
      <color theme="1"/>
      <name val="Calibri"/>
      <family val="2"/>
      <scheme val="minor"/>
    </font>
  </fonts>
  <fills count="3">
    <fill>
      <patternFill patternType="none"/>
    </fill>
    <fill>
      <patternFill patternType="gray125"/>
    </fill>
    <fill>
      <patternFill patternType="solid">
        <fgColor theme="9" tint="0.79998168889431442"/>
        <bgColor theme="9" tint="0.79998168889431442"/>
      </patternFill>
    </fill>
  </fills>
  <borders count="2">
    <border>
      <left/>
      <right/>
      <top/>
      <bottom/>
      <diagonal/>
    </border>
    <border>
      <left/>
      <right/>
      <top style="thin">
        <color theme="9" tint="0.39997558519241921"/>
      </top>
      <bottom style="thin">
        <color theme="9" tint="0.39997558519241921"/>
      </bottom>
      <diagonal/>
    </border>
  </borders>
  <cellStyleXfs count="1">
    <xf numFmtId="0" fontId="0" fillId="0" borderId="0"/>
  </cellStyleXfs>
  <cellXfs count="2">
    <xf numFmtId="0" fontId="0" fillId="0" borderId="0" xfId="0"/>
    <xf numFmtId="164" fontId="0" fillId="2" borderId="1" xfId="0" applyNumberFormat="1" applyFill="1" applyBorder="1"/>
  </cellXfs>
  <cellStyles count="1">
    <cellStyle name="Normal" xfId="0" builtinId="0"/>
  </cellStyles>
  <dxfs count="0"/>
  <tableStyles count="0" defaultTableStyle="TableStyleMedium2" defaultPivotStyle="PivotStyleLight16"/>
  <colors>
    <mruColors>
      <color rgb="FFFF7979"/>
      <color rgb="FFFFBDBD"/>
      <color rgb="FFF8CEB2"/>
      <color rgb="FFFFFFB7"/>
      <color rgb="FFE9FEB4"/>
      <color rgb="FFBBDAA6"/>
      <color rgb="FFB2DEE0"/>
      <color rgb="FFA3C7E7"/>
      <color rgb="FFCBA9E5"/>
      <color rgb="FFD983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Pokedex_1" backgroundRefresh="0" connectionId="3" xr16:uid="{DAAAFDD0-1B65-4D52-8B0E-C86AE88D1A2F}" autoFormatId="16" applyNumberFormats="0" applyBorderFormats="0" applyFontFormats="0" applyPatternFormats="0" applyAlignmentFormats="0" applyWidthHeightFormats="0">
  <queryTableRefresh nextId="25">
    <queryTableFields count="24">
      <queryTableField id="1" name="Pokédex number" tableColumnId="1"/>
      <queryTableField id="2" name="Name" tableColumnId="2"/>
      <queryTableField id="3" name="Type 1" tableColumnId="3"/>
      <queryTableField id="4" name="Type 2" tableColumnId="4"/>
      <queryTableField id="5" name="HP" tableColumnId="5"/>
      <queryTableField id="6" name="Atk" tableColumnId="6"/>
      <queryTableField id="7" name="Def" tableColumnId="7"/>
      <queryTableField id="8" name="SpA" tableColumnId="8"/>
      <queryTableField id="9" name="SpD" tableColumnId="9"/>
      <queryTableField id="10" name="Spe" tableColumnId="10"/>
      <queryTableField id="11" name="Total Stats" tableColumnId="11"/>
      <queryTableField id="12" name="Ability 1" tableColumnId="12"/>
      <queryTableField id="13" name="New Ability Description" tableColumnId="13"/>
      <queryTableField id="14" name="Ability 2" tableColumnId="14"/>
      <queryTableField id="15" name="Physical Description" tableColumnId="15"/>
      <queryTableField id="16" name="Weaknesses" tableColumnId="16"/>
      <queryTableField id="17" name="Strengths" tableColumnId="17"/>
      <queryTableField id="18" name="Evolution" tableColumnId="18"/>
      <queryTableField id="19" name="Evolution Level" tableColumnId="19"/>
      <queryTableField id="20" name="Score" tableColumnId="20"/>
      <queryTableField id="21" name="Tier" tableColumnId="21"/>
      <queryTableField id="22" name="Overall Rating" tableColumnId="22"/>
      <queryTableField id="23" name="Image link" tableColumnId="23"/>
      <queryTableField id="24" name="Prompt" tableColumnId="24"/>
    </queryTableFields>
  </queryTableRefresh>
  <extLst>
    <ext xmlns:x15="http://schemas.microsoft.com/office/spreadsheetml/2010/11/main" uri="{883FBD77-0823-4a55-B5E3-86C4891E6966}">
      <x15:queryTable sourceDataName="Query - Pokedex"/>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AP" backgroundRefresh="0" connectionId="1" xr16:uid="{987F881F-CF13-4227-86F7-CB8994AABBD4}" autoFormatId="16" applyNumberFormats="0" applyBorderFormats="0" applyFontFormats="0" applyPatternFormats="0" applyAlignmentFormats="0" applyWidthHeightFormats="0">
  <queryTableRefresh nextId="31">
    <queryTableFields count="30">
      <queryTableField id="1" name="Pokédex number" tableColumnId="1"/>
      <queryTableField id="2" name="Name" tableColumnId="2"/>
      <queryTableField id="3" name="Type 1" tableColumnId="3"/>
      <queryTableField id="4" name="Type 2" tableColumnId="4"/>
      <queryTableField id="5" name="HP" tableColumnId="5"/>
      <queryTableField id="6" name="Atk" tableColumnId="6"/>
      <queryTableField id="7" name="Def" tableColumnId="7"/>
      <queryTableField id="8" name="SpA" tableColumnId="8"/>
      <queryTableField id="9" name="SpD" tableColumnId="9"/>
      <queryTableField id="10" name="Spe" tableColumnId="10"/>
      <queryTableField id="11" name="Stat HP" tableColumnId="11"/>
      <queryTableField id="12" name="Stat Atk" tableColumnId="12"/>
      <queryTableField id="13" name="Stat Def" tableColumnId="13"/>
      <queryTableField id="14" name="Stat SpA" tableColumnId="14"/>
      <queryTableField id="15" name="Stat SpD" tableColumnId="15"/>
      <queryTableField id="16" name="Stat Spe" tableColumnId="16"/>
      <queryTableField id="17" name="SPD Factor" tableColumnId="17"/>
      <queryTableField id="18" name="RPT" tableColumnId="18"/>
      <queryTableField id="19" name="RST" tableColumnId="19"/>
      <queryTableField id="20" name="RPS" tableColumnId="20"/>
      <queryTableField id="21" name="RSS" tableColumnId="21"/>
      <queryTableField id="22" name="PT" tableColumnId="22"/>
      <queryTableField id="23" name="ST" tableColumnId="23"/>
      <queryTableField id="24" name="PS" tableColumnId="24"/>
      <queryTableField id="25" name="SS" tableColumnId="25"/>
      <queryTableField id="26" name="ODB" tableColumnId="26"/>
      <queryTableField id="27" name="PSB" tableColumnId="27"/>
      <queryTableField id="28" name="Overall Rating" tableColumnId="28"/>
      <queryTableField id="29" name="RatingLabel" tableColumnId="29"/>
      <queryTableField id="30" name="Movepool size" tableColumnId="30"/>
    </queryTableFields>
  </queryTableRefresh>
  <extLst>
    <ext xmlns:x15="http://schemas.microsoft.com/office/spreadsheetml/2010/11/main" uri="{883FBD77-0823-4a55-B5E3-86C4891E6966}">
      <x15:queryTable sourceDataName="Query - CAP"/>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MovePool" backgroundRefresh="0" connectionId="2" xr16:uid="{09AEBB88-7E9C-4C6E-B2CB-2B72F116E71B}" autoFormatId="16" applyNumberFormats="0" applyBorderFormats="0" applyFontFormats="0" applyPatternFormats="0" applyAlignmentFormats="0" applyWidthHeightFormats="0">
  <queryTableRefresh nextId="6">
    <queryTableFields count="5">
      <queryTableField id="1" name="Pokédex number" tableColumnId="1"/>
      <queryTableField id="2" name="Name" tableColumnId="2"/>
      <queryTableField id="3" name="Overall Rating" tableColumnId="3"/>
      <queryTableField id="4" name="MovePool Size" tableColumnId="4"/>
      <queryTableField id="5" name="MoveList" tableColumnId="5"/>
    </queryTableFields>
  </queryTableRefresh>
  <extLst>
    <ext xmlns:x15="http://schemas.microsoft.com/office/spreadsheetml/2010/11/main" uri="{883FBD77-0823-4a55-B5E3-86C4891E6966}">
      <x15:queryTable sourceDataName="Query - MovePool"/>
    </ext>
  </extLst>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EC4B3F-E15E-4923-80AA-6D1CE7CDF6EF}" name="Table_Pokedex_1" displayName="Table_Pokedex_1" ref="A1:X115" tableType="queryTable" totalsRowShown="0">
  <autoFilter ref="A1:X115" xr:uid="{1FEC4B3F-E15E-4923-80AA-6D1CE7CDF6EF}"/>
  <sortState xmlns:xlrd2="http://schemas.microsoft.com/office/spreadsheetml/2017/richdata2" ref="A2:X115">
    <sortCondition ref="A1:A115"/>
  </sortState>
  <tableColumns count="24">
    <tableColumn id="1" xr3:uid="{0399D3A3-7B1E-4B22-9A62-1A7C582E5165}" uniqueName="1" name="Pokédex number" queryTableFieldId="1"/>
    <tableColumn id="2" xr3:uid="{D903290F-B595-4825-B220-DDF56817C35E}" uniqueName="2" name="Name" queryTableFieldId="2"/>
    <tableColumn id="3" xr3:uid="{538F0658-CCA0-417D-B88B-4958F9300875}" uniqueName="3" name="Type 1" queryTableFieldId="3"/>
    <tableColumn id="4" xr3:uid="{9F8F6588-C147-4E13-9CF3-4D17E46C9E53}" uniqueName="4" name="Type 2" queryTableFieldId="4"/>
    <tableColumn id="5" xr3:uid="{72FA8649-F51B-4EA2-A11D-EE50AB437E04}" uniqueName="5" name="HP" queryTableFieldId="5"/>
    <tableColumn id="6" xr3:uid="{8FA3E10A-0447-45D1-B73E-65379787B1CE}" uniqueName="6" name="Atk" queryTableFieldId="6"/>
    <tableColumn id="7" xr3:uid="{8B6CD366-0A82-4ADC-8DF8-FDFC9FC2D845}" uniqueName="7" name="Def" queryTableFieldId="7"/>
    <tableColumn id="8" xr3:uid="{3AA22B1C-4710-4C08-86EF-CDE17C92A24D}" uniqueName="8" name="SpA" queryTableFieldId="8"/>
    <tableColumn id="9" xr3:uid="{4934A1D0-63B1-484A-BB13-1A3EDF3EA318}" uniqueName="9" name="SpD" queryTableFieldId="9"/>
    <tableColumn id="10" xr3:uid="{4C6089E4-54A7-493D-B707-57F2BDD17598}" uniqueName="10" name="Spe" queryTableFieldId="10"/>
    <tableColumn id="11" xr3:uid="{8B029E81-F0FD-4AFE-854D-AD3ADE52A005}" uniqueName="11" name="Total Stats" queryTableFieldId="11"/>
    <tableColumn id="12" xr3:uid="{A81243A4-6643-43FE-A2E0-E1CC839D430C}" uniqueName="12" name="Ability 1" queryTableFieldId="12"/>
    <tableColumn id="13" xr3:uid="{C37C15F3-807F-4A61-BA5D-5AB94D33858D}" uniqueName="13" name="New Ability Description" queryTableFieldId="13"/>
    <tableColumn id="14" xr3:uid="{66203CA5-73EC-4EA6-A4BE-AEA0E7CF3BCB}" uniqueName="14" name="Ability 2" queryTableFieldId="14"/>
    <tableColumn id="15" xr3:uid="{E04962B1-8E22-421C-AC73-7B9D452649DD}" uniqueName="15" name="Physical Description" queryTableFieldId="15"/>
    <tableColumn id="16" xr3:uid="{74C6A361-7342-4EBD-B428-3E3D196B0211}" uniqueName="16" name="Weaknesses" queryTableFieldId="16"/>
    <tableColumn id="17" xr3:uid="{13ED491F-8368-4544-B815-98EAB7B6FB2A}" uniqueName="17" name="Strengths" queryTableFieldId="17"/>
    <tableColumn id="18" xr3:uid="{F1816A7E-25D8-4D6D-AFA6-03CE3AA687D4}" uniqueName="18" name="Evolution" queryTableFieldId="18"/>
    <tableColumn id="19" xr3:uid="{D2A972DC-6F78-4AAA-BC42-A4446609AC82}" uniqueName="19" name="Evolution Level" queryTableFieldId="19"/>
    <tableColumn id="20" xr3:uid="{FD932F6E-0CFB-4D72-8095-658FE3C7FAAD}" uniqueName="20" name="Score" queryTableFieldId="20"/>
    <tableColumn id="21" xr3:uid="{BD636F3B-FEFF-4DE5-91A2-2557B929BFDD}" uniqueName="21" name="Tier" queryTableFieldId="21"/>
    <tableColumn id="22" xr3:uid="{7404F89F-5885-47E1-9E86-C9FEB765E5D3}" uniqueName="22" name="Overall Rating" queryTableFieldId="22"/>
    <tableColumn id="23" xr3:uid="{3185B161-7082-4DF9-B9AF-DFB8B06AB963}" uniqueName="23" name="Image link" queryTableFieldId="23"/>
    <tableColumn id="24" xr3:uid="{BF468E34-8CC2-4995-BB02-5706040D304B}" uniqueName="24" name="Prompt" queryTableFieldId="2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8C60241-9755-4977-B62A-283DFEF1E0FC}" name="Table_CAP" displayName="Table_CAP" ref="A1:AD115" tableType="queryTable" totalsRowShown="0">
  <autoFilter ref="A1:AD115" xr:uid="{78C60241-9755-4977-B62A-283DFEF1E0FC}"/>
  <tableColumns count="30">
    <tableColumn id="1" xr3:uid="{E63652A2-611A-4345-8B9F-1815F34637BA}" uniqueName="1" name="Pokédex number" queryTableFieldId="1"/>
    <tableColumn id="2" xr3:uid="{7FB2C576-58A8-4A83-97D2-2B671EB0A720}" uniqueName="2" name="Name" queryTableFieldId="2"/>
    <tableColumn id="3" xr3:uid="{2FD9D8F9-E3A7-41AF-94C8-CE13D39073E2}" uniqueName="3" name="Type 1" queryTableFieldId="3"/>
    <tableColumn id="4" xr3:uid="{DFCD2BB9-02AC-4CA4-89E0-4BE2EABB819D}" uniqueName="4" name="Type 2" queryTableFieldId="4"/>
    <tableColumn id="5" xr3:uid="{BC8236A0-796E-40C0-8C48-E9FE5C14D8D7}" uniqueName="5" name="HP" queryTableFieldId="5"/>
    <tableColumn id="6" xr3:uid="{00E443FC-CAF4-4DF3-B9C8-3EBDE4776ECB}" uniqueName="6" name="Atk" queryTableFieldId="6"/>
    <tableColumn id="7" xr3:uid="{754F8F13-BD4A-45C6-AC86-D8BC02E8A653}" uniqueName="7" name="Def" queryTableFieldId="7"/>
    <tableColumn id="8" xr3:uid="{9A81B85F-E182-406D-9F94-A4959331428F}" uniqueName="8" name="SpA" queryTableFieldId="8"/>
    <tableColumn id="9" xr3:uid="{48862142-C278-436D-9E01-A38A827F4AD1}" uniqueName="9" name="SpD" queryTableFieldId="9"/>
    <tableColumn id="10" xr3:uid="{22F1C29F-45AA-4987-98F7-80CC401CB28A}" uniqueName="10" name="Spe" queryTableFieldId="10"/>
    <tableColumn id="11" xr3:uid="{5F9E2781-206A-4FDC-9782-4DB6761338BA}" uniqueName="11" name="Stat HP" queryTableFieldId="11"/>
    <tableColumn id="12" xr3:uid="{97978664-D2CF-4CD8-9011-6D1E80D680AC}" uniqueName="12" name="Stat Atk" queryTableFieldId="12"/>
    <tableColumn id="13" xr3:uid="{6FE092EC-D54E-495E-A3F1-138D8E952CFA}" uniqueName="13" name="Stat Def" queryTableFieldId="13"/>
    <tableColumn id="14" xr3:uid="{F4C62830-7681-4921-B189-B059EA556AE2}" uniqueName="14" name="Stat SpA" queryTableFieldId="14"/>
    <tableColumn id="15" xr3:uid="{A9A54B61-19C5-4342-A36A-16DAC5E29A71}" uniqueName="15" name="Stat SpD" queryTableFieldId="15"/>
    <tableColumn id="16" xr3:uid="{BE536F6D-7F6F-46C0-9A70-933BE7906B5C}" uniqueName="16" name="Stat Spe" queryTableFieldId="16"/>
    <tableColumn id="17" xr3:uid="{B4416806-67B1-457A-9881-BF1EB1577097}" uniqueName="17" name="SPD Factor" queryTableFieldId="17"/>
    <tableColumn id="18" xr3:uid="{6D2B41E6-1747-44E3-863F-BFEE3287BFA8}" uniqueName="18" name="RPT" queryTableFieldId="18"/>
    <tableColumn id="19" xr3:uid="{EF081AB2-CB87-4B2E-83C1-2FD3A46FF490}" uniqueName="19" name="RST" queryTableFieldId="19"/>
    <tableColumn id="20" xr3:uid="{74E1B1D6-72D9-4069-A94F-01247D2F6FF5}" uniqueName="20" name="RPS" queryTableFieldId="20"/>
    <tableColumn id="21" xr3:uid="{6439AD37-8C8F-4CEC-9BF9-6686A5B8C6D8}" uniqueName="21" name="RSS" queryTableFieldId="21"/>
    <tableColumn id="22" xr3:uid="{603DD045-C710-4BD3-AFAD-236F3AC631A3}" uniqueName="22" name="PT" queryTableFieldId="22"/>
    <tableColumn id="23" xr3:uid="{DD93CBC3-3BB2-4EB2-AB45-214F0A298125}" uniqueName="23" name="ST" queryTableFieldId="23"/>
    <tableColumn id="24" xr3:uid="{EB2041BC-148F-4908-824D-66958BCEE422}" uniqueName="24" name="PS" queryTableFieldId="24"/>
    <tableColumn id="25" xr3:uid="{5CB77AD6-B55A-492D-AC6E-0815CE6B9C35}" uniqueName="25" name="SS" queryTableFieldId="25"/>
    <tableColumn id="26" xr3:uid="{CF408DB8-AAD0-4C9A-A6E7-975BE52A66DC}" uniqueName="26" name="ODB" queryTableFieldId="26"/>
    <tableColumn id="27" xr3:uid="{1252DE81-3AE6-4C19-B8BE-73714ECCC2A6}" uniqueName="27" name="PSB" queryTableFieldId="27"/>
    <tableColumn id="28" xr3:uid="{75813D94-2254-499E-A1DD-BB2342B0ECF6}" uniqueName="28" name="Overall Rating" queryTableFieldId="28"/>
    <tableColumn id="29" xr3:uid="{08775BF6-3880-420A-A3F7-68D2630885C4}" uniqueName="29" name="RatingLabel" queryTableFieldId="29"/>
    <tableColumn id="30" xr3:uid="{1DD6B85B-AE58-48E4-8AC3-566FFDC67160}" uniqueName="30" name="Movepool size" queryTableFieldId="3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63CC29E-F0C2-4063-A841-7C32CE66A708}" name="Table_MovePool" displayName="Table_MovePool" ref="A1:E77" tableType="queryTable" totalsRowShown="0">
  <autoFilter ref="A1:E77" xr:uid="{563CC29E-F0C2-4063-A841-7C32CE66A708}"/>
  <tableColumns count="5">
    <tableColumn id="1" xr3:uid="{5B97F392-BF07-4545-9938-2D56EC5BCDC5}" uniqueName="1" name="Pokédex number" queryTableFieldId="1"/>
    <tableColumn id="2" xr3:uid="{50807A56-9150-4E7C-85D6-821BD43122A8}" uniqueName="2" name="Name" queryTableFieldId="2"/>
    <tableColumn id="3" xr3:uid="{81FD4351-5F5B-49A1-AEB6-7D1B9DF07301}" uniqueName="3" name="Overall Rating" queryTableFieldId="3"/>
    <tableColumn id="4" xr3:uid="{FDB5D82E-7A4E-4F97-97D3-B34CA2454F17}" uniqueName="4" name="MovePool Size" queryTableFieldId="4"/>
    <tableColumn id="5" xr3:uid="{975A3C93-12C5-46DF-B43C-6DC8C5652EDB}" uniqueName="5" name="MoveList" queryTableFieldId="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51FB2-66BD-45D9-A29D-4824A1D9C08D}">
  <sheetPr codeName="Sheet1"/>
  <dimension ref="A1:B2"/>
  <sheetViews>
    <sheetView tabSelected="1" zoomScale="115" zoomScaleNormal="115" workbookViewId="0">
      <selection activeCell="B5" sqref="B5"/>
    </sheetView>
  </sheetViews>
  <sheetFormatPr defaultRowHeight="14.4" x14ac:dyDescent="0.3"/>
  <cols>
    <col min="1" max="1" width="10.109375" customWidth="1"/>
  </cols>
  <sheetData>
    <row r="1" spans="1:2" x14ac:dyDescent="0.3">
      <c r="A1" t="s">
        <v>2</v>
      </c>
      <c r="B1" t="s">
        <v>0</v>
      </c>
    </row>
    <row r="2" spans="1:2" x14ac:dyDescent="0.3">
      <c r="B2" t="s">
        <v>1</v>
      </c>
    </row>
  </sheetData>
  <dataConsolidate/>
  <dataValidations count="1">
    <dataValidation type="list" allowBlank="1" showInputMessage="1" showErrorMessage="1" sqref="A2" xr:uid="{DD652F1C-994C-48CF-B50D-455995CB88C0}">
      <formula1>#REF!</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84E39C35-13D1-4922-BFAD-9794402D7F67}">
          <x14:formula1>
            <xm:f>Dex!$B$2:$B$1048576</xm:f>
          </x14:formula1>
          <xm:sqref>B2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A2EB7-787C-4EC1-AC14-8EBC8D035F2A}">
  <sheetPr codeName="Sheet2"/>
  <dimension ref="A1:X115"/>
  <sheetViews>
    <sheetView topLeftCell="R15" workbookViewId="0">
      <selection activeCell="B7" sqref="B7"/>
    </sheetView>
  </sheetViews>
  <sheetFormatPr defaultRowHeight="14.4" x14ac:dyDescent="0.3"/>
  <cols>
    <col min="1" max="1" width="17.6640625" bestFit="1" customWidth="1"/>
    <col min="2" max="2" width="12.44140625" bestFit="1" customWidth="1"/>
    <col min="3" max="4" width="8.77734375" bestFit="1" customWidth="1"/>
    <col min="5" max="5" width="5.5546875" bestFit="1" customWidth="1"/>
    <col min="6" max="7" width="6.109375" bestFit="1" customWidth="1"/>
    <col min="8" max="9" width="6.5546875" bestFit="1" customWidth="1"/>
    <col min="10" max="10" width="6.33203125" bestFit="1" customWidth="1"/>
    <col min="11" max="11" width="12" bestFit="1" customWidth="1"/>
    <col min="12" max="12" width="18.88671875" bestFit="1" customWidth="1"/>
    <col min="13" max="13" width="80.88671875" bestFit="1" customWidth="1"/>
    <col min="14" max="14" width="15" bestFit="1" customWidth="1"/>
    <col min="15" max="15" width="80.88671875" bestFit="1" customWidth="1"/>
    <col min="16" max="16" width="40.33203125" bestFit="1" customWidth="1"/>
    <col min="17" max="17" width="50.77734375" bestFit="1" customWidth="1"/>
    <col min="18" max="18" width="12.44140625" bestFit="1" customWidth="1"/>
    <col min="19" max="19" width="16.109375" bestFit="1" customWidth="1"/>
    <col min="20" max="20" width="7.88671875" bestFit="1" customWidth="1"/>
    <col min="21" max="21" width="6.33203125" bestFit="1" customWidth="1"/>
    <col min="22" max="22" width="14.88671875" bestFit="1" customWidth="1"/>
    <col min="23" max="24" width="80.88671875" bestFit="1" customWidth="1"/>
  </cols>
  <sheetData>
    <row r="1" spans="1:24" x14ac:dyDescent="0.3">
      <c r="A1" t="s">
        <v>3</v>
      </c>
      <c r="B1" t="s">
        <v>0</v>
      </c>
      <c r="C1" t="s">
        <v>4</v>
      </c>
      <c r="D1" t="s">
        <v>5</v>
      </c>
      <c r="E1" t="s">
        <v>6</v>
      </c>
      <c r="F1" t="s">
        <v>7</v>
      </c>
      <c r="G1" t="s">
        <v>8</v>
      </c>
      <c r="H1" t="s">
        <v>9</v>
      </c>
      <c r="I1" t="s">
        <v>10</v>
      </c>
      <c r="J1" t="s">
        <v>11</v>
      </c>
      <c r="K1" t="s">
        <v>180</v>
      </c>
      <c r="L1" t="s">
        <v>181</v>
      </c>
      <c r="M1" t="s">
        <v>182</v>
      </c>
      <c r="N1" t="s">
        <v>183</v>
      </c>
      <c r="O1" t="s">
        <v>184</v>
      </c>
      <c r="P1" t="s">
        <v>185</v>
      </c>
      <c r="Q1" t="s">
        <v>186</v>
      </c>
      <c r="R1" t="s">
        <v>187</v>
      </c>
      <c r="S1" t="s">
        <v>188</v>
      </c>
      <c r="T1" t="s">
        <v>189</v>
      </c>
      <c r="U1" t="s">
        <v>190</v>
      </c>
      <c r="V1" t="s">
        <v>29</v>
      </c>
      <c r="W1" t="s">
        <v>191</v>
      </c>
      <c r="X1" t="s">
        <v>192</v>
      </c>
    </row>
    <row r="2" spans="1:24" x14ac:dyDescent="0.3">
      <c r="A2">
        <v>1</v>
      </c>
      <c r="B2" t="s">
        <v>179</v>
      </c>
      <c r="C2" t="s">
        <v>85</v>
      </c>
      <c r="E2">
        <v>50</v>
      </c>
      <c r="F2">
        <v>60</v>
      </c>
      <c r="G2">
        <v>45</v>
      </c>
      <c r="H2">
        <v>70</v>
      </c>
      <c r="I2">
        <v>40</v>
      </c>
      <c r="J2">
        <v>90</v>
      </c>
      <c r="K2">
        <v>355</v>
      </c>
      <c r="L2" t="s">
        <v>193</v>
      </c>
      <c r="N2" t="s">
        <v>566</v>
      </c>
      <c r="O2" t="s">
        <v>567</v>
      </c>
      <c r="P2" t="s">
        <v>447</v>
      </c>
      <c r="Q2" t="s">
        <v>448</v>
      </c>
      <c r="R2" t="s">
        <v>178</v>
      </c>
      <c r="S2">
        <v>17</v>
      </c>
      <c r="T2">
        <v>4</v>
      </c>
      <c r="U2" t="s">
        <v>568</v>
      </c>
      <c r="V2">
        <v>122.07907820411218</v>
      </c>
      <c r="X2" t="s">
        <v>569</v>
      </c>
    </row>
    <row r="3" spans="1:24" x14ac:dyDescent="0.3">
      <c r="A3">
        <v>2</v>
      </c>
      <c r="B3" t="s">
        <v>178</v>
      </c>
      <c r="C3" t="s">
        <v>85</v>
      </c>
      <c r="D3" t="s">
        <v>70</v>
      </c>
      <c r="E3">
        <v>70</v>
      </c>
      <c r="F3">
        <v>80</v>
      </c>
      <c r="G3">
        <v>65</v>
      </c>
      <c r="H3">
        <v>90</v>
      </c>
      <c r="I3">
        <v>60</v>
      </c>
      <c r="J3">
        <v>110</v>
      </c>
      <c r="K3">
        <v>475</v>
      </c>
      <c r="L3" t="s">
        <v>193</v>
      </c>
      <c r="N3" t="s">
        <v>194</v>
      </c>
      <c r="O3" t="s">
        <v>474</v>
      </c>
      <c r="P3" t="s">
        <v>196</v>
      </c>
      <c r="Q3" t="s">
        <v>197</v>
      </c>
      <c r="R3" t="s">
        <v>177</v>
      </c>
      <c r="S3">
        <v>35</v>
      </c>
      <c r="T3">
        <v>6.5</v>
      </c>
      <c r="U3" t="s">
        <v>424</v>
      </c>
      <c r="V3">
        <v>223.83909163272614</v>
      </c>
      <c r="X3" t="s">
        <v>475</v>
      </c>
    </row>
    <row r="4" spans="1:24" x14ac:dyDescent="0.3">
      <c r="A4">
        <v>3</v>
      </c>
      <c r="B4" t="s">
        <v>177</v>
      </c>
      <c r="C4" t="s">
        <v>85</v>
      </c>
      <c r="D4" t="s">
        <v>70</v>
      </c>
      <c r="E4">
        <v>90</v>
      </c>
      <c r="F4">
        <v>100</v>
      </c>
      <c r="G4">
        <v>85</v>
      </c>
      <c r="H4">
        <v>110</v>
      </c>
      <c r="I4">
        <v>80</v>
      </c>
      <c r="J4">
        <v>130</v>
      </c>
      <c r="K4">
        <v>595</v>
      </c>
      <c r="L4" t="s">
        <v>193</v>
      </c>
      <c r="N4" t="s">
        <v>194</v>
      </c>
      <c r="O4" t="s">
        <v>195</v>
      </c>
      <c r="P4" t="s">
        <v>196</v>
      </c>
      <c r="Q4" t="s">
        <v>197</v>
      </c>
      <c r="R4" t="s">
        <v>198</v>
      </c>
      <c r="T4">
        <v>8</v>
      </c>
      <c r="U4" t="s">
        <v>199</v>
      </c>
      <c r="V4">
        <v>336.55805222938517</v>
      </c>
      <c r="X4" t="s">
        <v>200</v>
      </c>
    </row>
    <row r="5" spans="1:24" x14ac:dyDescent="0.3">
      <c r="A5">
        <v>4</v>
      </c>
      <c r="B5" t="s">
        <v>176</v>
      </c>
      <c r="C5" t="s">
        <v>73</v>
      </c>
      <c r="E5">
        <v>50</v>
      </c>
      <c r="F5">
        <v>70</v>
      </c>
      <c r="G5">
        <v>40</v>
      </c>
      <c r="H5">
        <v>60</v>
      </c>
      <c r="I5">
        <v>40</v>
      </c>
      <c r="J5">
        <v>85</v>
      </c>
      <c r="K5">
        <v>345</v>
      </c>
      <c r="L5" t="s">
        <v>272</v>
      </c>
      <c r="N5" t="s">
        <v>574</v>
      </c>
      <c r="O5" t="s">
        <v>575</v>
      </c>
      <c r="P5" t="s">
        <v>303</v>
      </c>
      <c r="Q5" t="s">
        <v>472</v>
      </c>
      <c r="R5" t="s">
        <v>175</v>
      </c>
      <c r="S5">
        <v>17</v>
      </c>
      <c r="T5">
        <v>3.5</v>
      </c>
      <c r="U5" t="s">
        <v>568</v>
      </c>
      <c r="V5">
        <v>115.19185364466431</v>
      </c>
      <c r="X5" t="s">
        <v>576</v>
      </c>
    </row>
    <row r="6" spans="1:24" x14ac:dyDescent="0.3">
      <c r="A6">
        <v>5</v>
      </c>
      <c r="B6" t="s">
        <v>175</v>
      </c>
      <c r="C6" t="s">
        <v>73</v>
      </c>
      <c r="D6" t="s">
        <v>82</v>
      </c>
      <c r="E6">
        <v>75</v>
      </c>
      <c r="F6">
        <v>110</v>
      </c>
      <c r="G6">
        <v>70</v>
      </c>
      <c r="H6">
        <v>80</v>
      </c>
      <c r="I6">
        <v>70</v>
      </c>
      <c r="J6">
        <v>110</v>
      </c>
      <c r="K6">
        <v>515</v>
      </c>
      <c r="L6" t="s">
        <v>272</v>
      </c>
      <c r="N6" t="s">
        <v>342</v>
      </c>
      <c r="O6" t="s">
        <v>378</v>
      </c>
      <c r="P6" t="s">
        <v>379</v>
      </c>
      <c r="Q6" t="s">
        <v>380</v>
      </c>
      <c r="R6" t="s">
        <v>198</v>
      </c>
      <c r="T6">
        <v>7.5</v>
      </c>
      <c r="U6" t="s">
        <v>233</v>
      </c>
      <c r="V6">
        <v>264.62685210213181</v>
      </c>
      <c r="X6" t="s">
        <v>381</v>
      </c>
    </row>
    <row r="7" spans="1:24" x14ac:dyDescent="0.3">
      <c r="A7">
        <v>6</v>
      </c>
      <c r="B7" t="s">
        <v>174</v>
      </c>
      <c r="C7" t="s">
        <v>65</v>
      </c>
      <c r="D7" t="s">
        <v>69</v>
      </c>
      <c r="E7">
        <v>85</v>
      </c>
      <c r="F7">
        <v>100</v>
      </c>
      <c r="G7">
        <v>80</v>
      </c>
      <c r="H7">
        <v>110</v>
      </c>
      <c r="I7">
        <v>90</v>
      </c>
      <c r="J7">
        <v>80</v>
      </c>
      <c r="K7">
        <v>545</v>
      </c>
      <c r="L7" t="s">
        <v>333</v>
      </c>
      <c r="N7" t="s">
        <v>247</v>
      </c>
      <c r="O7" t="s">
        <v>334</v>
      </c>
      <c r="P7" t="s">
        <v>335</v>
      </c>
      <c r="Q7" t="s">
        <v>336</v>
      </c>
      <c r="R7" t="s">
        <v>326</v>
      </c>
      <c r="T7">
        <v>9</v>
      </c>
      <c r="U7" t="s">
        <v>199</v>
      </c>
      <c r="V7">
        <v>278.01020241905132</v>
      </c>
      <c r="X7" t="s">
        <v>337</v>
      </c>
    </row>
    <row r="8" spans="1:24" x14ac:dyDescent="0.3">
      <c r="A8">
        <v>7</v>
      </c>
      <c r="B8" t="s">
        <v>173</v>
      </c>
      <c r="C8" t="s">
        <v>60</v>
      </c>
      <c r="D8" t="s">
        <v>82</v>
      </c>
      <c r="E8">
        <v>80</v>
      </c>
      <c r="F8">
        <v>100</v>
      </c>
      <c r="G8">
        <v>120</v>
      </c>
      <c r="H8">
        <v>75</v>
      </c>
      <c r="I8">
        <v>95</v>
      </c>
      <c r="J8">
        <v>70</v>
      </c>
      <c r="K8">
        <v>540</v>
      </c>
      <c r="L8" t="s">
        <v>227</v>
      </c>
      <c r="N8" t="s">
        <v>353</v>
      </c>
      <c r="O8" t="s">
        <v>354</v>
      </c>
      <c r="P8" t="s">
        <v>355</v>
      </c>
      <c r="Q8" t="s">
        <v>356</v>
      </c>
      <c r="R8" t="s">
        <v>326</v>
      </c>
      <c r="T8">
        <v>8.5</v>
      </c>
      <c r="U8" t="s">
        <v>199</v>
      </c>
      <c r="V8">
        <v>277.04860365222885</v>
      </c>
      <c r="X8" t="s">
        <v>357</v>
      </c>
    </row>
    <row r="9" spans="1:24" x14ac:dyDescent="0.3">
      <c r="A9">
        <v>8</v>
      </c>
      <c r="B9" t="s">
        <v>172</v>
      </c>
      <c r="C9" t="s">
        <v>106</v>
      </c>
      <c r="E9">
        <v>45</v>
      </c>
      <c r="F9">
        <v>60</v>
      </c>
      <c r="G9">
        <v>40</v>
      </c>
      <c r="H9">
        <v>45</v>
      </c>
      <c r="I9">
        <v>40</v>
      </c>
      <c r="J9">
        <v>70</v>
      </c>
      <c r="K9">
        <v>300</v>
      </c>
      <c r="L9" t="s">
        <v>587</v>
      </c>
      <c r="N9" t="s">
        <v>528</v>
      </c>
      <c r="O9" t="s">
        <v>596</v>
      </c>
      <c r="P9" t="s">
        <v>597</v>
      </c>
      <c r="Q9" t="s">
        <v>598</v>
      </c>
      <c r="R9" t="s">
        <v>171</v>
      </c>
      <c r="S9">
        <v>18</v>
      </c>
      <c r="T9">
        <v>2.5</v>
      </c>
      <c r="U9" t="s">
        <v>599</v>
      </c>
      <c r="V9">
        <v>86.244961248858928</v>
      </c>
      <c r="X9" t="s">
        <v>600</v>
      </c>
    </row>
    <row r="10" spans="1:24" x14ac:dyDescent="0.3">
      <c r="A10">
        <v>9</v>
      </c>
      <c r="B10" t="s">
        <v>171</v>
      </c>
      <c r="C10" t="s">
        <v>106</v>
      </c>
      <c r="D10" t="s">
        <v>70</v>
      </c>
      <c r="E10">
        <v>65</v>
      </c>
      <c r="F10">
        <v>85</v>
      </c>
      <c r="G10">
        <v>60</v>
      </c>
      <c r="H10">
        <v>70</v>
      </c>
      <c r="I10">
        <v>60</v>
      </c>
      <c r="J10">
        <v>95</v>
      </c>
      <c r="K10">
        <v>435</v>
      </c>
      <c r="L10" t="s">
        <v>241</v>
      </c>
      <c r="N10" t="s">
        <v>528</v>
      </c>
      <c r="O10" t="s">
        <v>529</v>
      </c>
      <c r="P10" t="s">
        <v>244</v>
      </c>
      <c r="Q10" t="s">
        <v>245</v>
      </c>
      <c r="R10" t="s">
        <v>170</v>
      </c>
      <c r="S10">
        <v>36</v>
      </c>
      <c r="T10">
        <v>5.5</v>
      </c>
      <c r="U10" t="s">
        <v>424</v>
      </c>
      <c r="V10">
        <v>186.96698748304038</v>
      </c>
      <c r="X10" t="s">
        <v>530</v>
      </c>
    </row>
    <row r="11" spans="1:24" x14ac:dyDescent="0.3">
      <c r="A11">
        <v>10</v>
      </c>
      <c r="B11" t="s">
        <v>170</v>
      </c>
      <c r="C11" t="s">
        <v>106</v>
      </c>
      <c r="D11" t="s">
        <v>70</v>
      </c>
      <c r="E11">
        <v>85</v>
      </c>
      <c r="F11">
        <v>115</v>
      </c>
      <c r="G11">
        <v>80</v>
      </c>
      <c r="H11">
        <v>95</v>
      </c>
      <c r="I11">
        <v>80</v>
      </c>
      <c r="J11">
        <v>120</v>
      </c>
      <c r="K11">
        <v>575</v>
      </c>
      <c r="L11" t="s">
        <v>241</v>
      </c>
      <c r="N11" t="s">
        <v>242</v>
      </c>
      <c r="O11" t="s">
        <v>243</v>
      </c>
      <c r="P11" t="s">
        <v>244</v>
      </c>
      <c r="Q11" t="s">
        <v>245</v>
      </c>
      <c r="R11" t="s">
        <v>198</v>
      </c>
      <c r="T11">
        <v>7.5</v>
      </c>
      <c r="U11" t="s">
        <v>233</v>
      </c>
      <c r="V11">
        <v>322.25026968021001</v>
      </c>
      <c r="X11" t="s">
        <v>246</v>
      </c>
    </row>
    <row r="12" spans="1:24" x14ac:dyDescent="0.3">
      <c r="A12">
        <v>11</v>
      </c>
      <c r="B12" t="s">
        <v>169</v>
      </c>
      <c r="C12" t="s">
        <v>73</v>
      </c>
      <c r="E12">
        <v>45</v>
      </c>
      <c r="F12">
        <v>40</v>
      </c>
      <c r="G12">
        <v>50</v>
      </c>
      <c r="H12">
        <v>65</v>
      </c>
      <c r="I12">
        <v>55</v>
      </c>
      <c r="J12">
        <v>70</v>
      </c>
      <c r="K12">
        <v>325</v>
      </c>
      <c r="L12" t="s">
        <v>342</v>
      </c>
      <c r="N12" t="s">
        <v>368</v>
      </c>
      <c r="O12" t="s">
        <v>590</v>
      </c>
      <c r="P12" t="s">
        <v>303</v>
      </c>
      <c r="Q12" t="s">
        <v>472</v>
      </c>
      <c r="R12" t="s">
        <v>168</v>
      </c>
      <c r="S12">
        <v>20</v>
      </c>
      <c r="T12">
        <v>4.5</v>
      </c>
      <c r="U12" t="s">
        <v>568</v>
      </c>
      <c r="V12">
        <v>103.27970817485509</v>
      </c>
      <c r="X12" t="s">
        <v>591</v>
      </c>
    </row>
    <row r="13" spans="1:24" x14ac:dyDescent="0.3">
      <c r="A13">
        <v>12</v>
      </c>
      <c r="B13" t="s">
        <v>168</v>
      </c>
      <c r="C13" t="s">
        <v>73</v>
      </c>
      <c r="D13" t="s">
        <v>61</v>
      </c>
      <c r="E13">
        <v>75</v>
      </c>
      <c r="F13">
        <v>70</v>
      </c>
      <c r="G13">
        <v>70</v>
      </c>
      <c r="H13">
        <v>120</v>
      </c>
      <c r="I13">
        <v>90</v>
      </c>
      <c r="J13">
        <v>100</v>
      </c>
      <c r="K13">
        <v>525</v>
      </c>
      <c r="L13" t="s">
        <v>342</v>
      </c>
      <c r="N13" t="s">
        <v>368</v>
      </c>
      <c r="O13" t="s">
        <v>369</v>
      </c>
      <c r="P13" t="s">
        <v>370</v>
      </c>
      <c r="Q13" t="s">
        <v>371</v>
      </c>
      <c r="R13" t="s">
        <v>198</v>
      </c>
      <c r="T13">
        <v>7</v>
      </c>
      <c r="U13" t="s">
        <v>233</v>
      </c>
      <c r="V13">
        <v>271.72650460103262</v>
      </c>
      <c r="X13" t="s">
        <v>372</v>
      </c>
    </row>
    <row r="14" spans="1:24" x14ac:dyDescent="0.3">
      <c r="A14">
        <v>13</v>
      </c>
      <c r="B14" t="s">
        <v>167</v>
      </c>
      <c r="C14" t="s">
        <v>65</v>
      </c>
      <c r="D14" t="s">
        <v>77</v>
      </c>
      <c r="E14">
        <v>80</v>
      </c>
      <c r="F14">
        <v>70</v>
      </c>
      <c r="G14">
        <v>75</v>
      </c>
      <c r="H14">
        <v>110</v>
      </c>
      <c r="I14">
        <v>90</v>
      </c>
      <c r="J14">
        <v>90</v>
      </c>
      <c r="K14">
        <v>515</v>
      </c>
      <c r="L14" t="s">
        <v>396</v>
      </c>
      <c r="N14" t="s">
        <v>397</v>
      </c>
      <c r="O14" t="s">
        <v>398</v>
      </c>
      <c r="P14" t="s">
        <v>399</v>
      </c>
      <c r="Q14" t="s">
        <v>287</v>
      </c>
      <c r="R14" t="s">
        <v>326</v>
      </c>
      <c r="T14">
        <v>8</v>
      </c>
      <c r="U14" t="s">
        <v>199</v>
      </c>
      <c r="V14">
        <v>257.34910530581203</v>
      </c>
      <c r="X14" t="s">
        <v>400</v>
      </c>
    </row>
    <row r="15" spans="1:24" x14ac:dyDescent="0.3">
      <c r="A15">
        <v>14</v>
      </c>
      <c r="B15" t="s">
        <v>166</v>
      </c>
      <c r="C15" t="s">
        <v>69</v>
      </c>
      <c r="D15" t="s">
        <v>87</v>
      </c>
      <c r="E15">
        <v>90</v>
      </c>
      <c r="F15">
        <v>100</v>
      </c>
      <c r="G15">
        <v>110</v>
      </c>
      <c r="H15">
        <v>90</v>
      </c>
      <c r="I15">
        <v>80</v>
      </c>
      <c r="J15">
        <v>75</v>
      </c>
      <c r="K15">
        <v>545</v>
      </c>
      <c r="L15" t="s">
        <v>321</v>
      </c>
      <c r="N15" t="s">
        <v>322</v>
      </c>
      <c r="O15" t="s">
        <v>323</v>
      </c>
      <c r="P15" t="s">
        <v>324</v>
      </c>
      <c r="Q15" t="s">
        <v>325</v>
      </c>
      <c r="R15" t="s">
        <v>326</v>
      </c>
      <c r="T15">
        <v>8.5</v>
      </c>
      <c r="U15" t="s">
        <v>199</v>
      </c>
      <c r="V15">
        <v>281.93568518695724</v>
      </c>
      <c r="X15" t="s">
        <v>327</v>
      </c>
    </row>
    <row r="16" spans="1:24" x14ac:dyDescent="0.3">
      <c r="A16">
        <v>15</v>
      </c>
      <c r="B16" t="s">
        <v>165</v>
      </c>
      <c r="C16" t="s">
        <v>73</v>
      </c>
      <c r="E16">
        <v>50</v>
      </c>
      <c r="F16">
        <v>60</v>
      </c>
      <c r="G16">
        <v>45</v>
      </c>
      <c r="H16">
        <v>60</v>
      </c>
      <c r="I16">
        <v>45</v>
      </c>
      <c r="J16">
        <v>80</v>
      </c>
      <c r="K16">
        <v>340</v>
      </c>
      <c r="L16" t="s">
        <v>272</v>
      </c>
      <c r="N16" t="s">
        <v>470</v>
      </c>
      <c r="O16" t="s">
        <v>581</v>
      </c>
      <c r="P16" t="s">
        <v>303</v>
      </c>
      <c r="Q16" t="s">
        <v>472</v>
      </c>
      <c r="R16" t="s">
        <v>164</v>
      </c>
      <c r="S16">
        <v>18</v>
      </c>
      <c r="T16">
        <v>4</v>
      </c>
      <c r="U16" t="s">
        <v>568</v>
      </c>
      <c r="V16">
        <v>111.82011163541567</v>
      </c>
      <c r="X16" t="s">
        <v>582</v>
      </c>
    </row>
    <row r="17" spans="1:24" x14ac:dyDescent="0.3">
      <c r="A17">
        <v>16</v>
      </c>
      <c r="B17" t="s">
        <v>164</v>
      </c>
      <c r="C17" t="s">
        <v>73</v>
      </c>
      <c r="E17">
        <v>70</v>
      </c>
      <c r="F17">
        <v>85</v>
      </c>
      <c r="G17">
        <v>65</v>
      </c>
      <c r="H17">
        <v>85</v>
      </c>
      <c r="I17">
        <v>65</v>
      </c>
      <c r="J17">
        <v>105</v>
      </c>
      <c r="K17">
        <v>475</v>
      </c>
      <c r="L17" t="s">
        <v>272</v>
      </c>
      <c r="N17" t="s">
        <v>470</v>
      </c>
      <c r="O17" t="s">
        <v>471</v>
      </c>
      <c r="P17" t="s">
        <v>303</v>
      </c>
      <c r="Q17" t="s">
        <v>472</v>
      </c>
      <c r="R17" t="s">
        <v>163</v>
      </c>
      <c r="S17">
        <v>36</v>
      </c>
      <c r="T17">
        <v>6</v>
      </c>
      <c r="U17" t="s">
        <v>424</v>
      </c>
      <c r="V17">
        <v>224.09924796720105</v>
      </c>
      <c r="X17" t="s">
        <v>473</v>
      </c>
    </row>
    <row r="18" spans="1:24" x14ac:dyDescent="0.3">
      <c r="A18">
        <v>17</v>
      </c>
      <c r="B18" t="s">
        <v>163</v>
      </c>
      <c r="C18" t="s">
        <v>73</v>
      </c>
      <c r="D18" t="s">
        <v>106</v>
      </c>
      <c r="E18">
        <v>85</v>
      </c>
      <c r="F18">
        <v>110</v>
      </c>
      <c r="G18">
        <v>80</v>
      </c>
      <c r="H18">
        <v>100</v>
      </c>
      <c r="I18">
        <v>75</v>
      </c>
      <c r="J18">
        <v>95</v>
      </c>
      <c r="K18">
        <v>545</v>
      </c>
      <c r="L18" t="s">
        <v>272</v>
      </c>
      <c r="N18" t="s">
        <v>241</v>
      </c>
      <c r="O18" t="s">
        <v>306</v>
      </c>
      <c r="P18" t="s">
        <v>307</v>
      </c>
      <c r="Q18" t="s">
        <v>308</v>
      </c>
      <c r="R18" t="s">
        <v>198</v>
      </c>
      <c r="T18">
        <v>7.5</v>
      </c>
      <c r="U18" t="s">
        <v>233</v>
      </c>
      <c r="V18">
        <v>287.68029217015038</v>
      </c>
      <c r="X18" t="s">
        <v>309</v>
      </c>
    </row>
    <row r="19" spans="1:24" x14ac:dyDescent="0.3">
      <c r="A19">
        <v>18</v>
      </c>
      <c r="B19" t="s">
        <v>162</v>
      </c>
      <c r="C19" t="s">
        <v>85</v>
      </c>
      <c r="E19">
        <v>55</v>
      </c>
      <c r="F19">
        <v>55</v>
      </c>
      <c r="G19">
        <v>65</v>
      </c>
      <c r="H19">
        <v>50</v>
      </c>
      <c r="I19">
        <v>60</v>
      </c>
      <c r="J19">
        <v>45</v>
      </c>
      <c r="K19">
        <v>330</v>
      </c>
      <c r="L19" t="s">
        <v>278</v>
      </c>
      <c r="N19" t="s">
        <v>476</v>
      </c>
      <c r="O19" t="s">
        <v>579</v>
      </c>
      <c r="P19" t="s">
        <v>447</v>
      </c>
      <c r="Q19" t="s">
        <v>448</v>
      </c>
      <c r="R19" t="s">
        <v>161</v>
      </c>
      <c r="S19">
        <v>18</v>
      </c>
      <c r="T19">
        <v>4.5</v>
      </c>
      <c r="U19" t="s">
        <v>568</v>
      </c>
      <c r="V19">
        <v>112.75093970836848</v>
      </c>
      <c r="X19" t="s">
        <v>580</v>
      </c>
    </row>
    <row r="20" spans="1:24" x14ac:dyDescent="0.3">
      <c r="A20">
        <v>19</v>
      </c>
      <c r="B20" t="s">
        <v>161</v>
      </c>
      <c r="C20" t="s">
        <v>85</v>
      </c>
      <c r="E20">
        <v>80</v>
      </c>
      <c r="F20">
        <v>75</v>
      </c>
      <c r="G20">
        <v>95</v>
      </c>
      <c r="H20">
        <v>70</v>
      </c>
      <c r="I20">
        <v>85</v>
      </c>
      <c r="J20">
        <v>65</v>
      </c>
      <c r="K20">
        <v>470</v>
      </c>
      <c r="L20" t="s">
        <v>278</v>
      </c>
      <c r="N20" t="s">
        <v>476</v>
      </c>
      <c r="O20" t="s">
        <v>477</v>
      </c>
      <c r="P20" t="s">
        <v>447</v>
      </c>
      <c r="Q20" t="s">
        <v>448</v>
      </c>
      <c r="R20" t="s">
        <v>160</v>
      </c>
      <c r="S20">
        <v>36</v>
      </c>
      <c r="T20">
        <v>5.5</v>
      </c>
      <c r="U20" t="s">
        <v>424</v>
      </c>
      <c r="V20">
        <v>220.96089923668393</v>
      </c>
      <c r="X20" t="s">
        <v>478</v>
      </c>
    </row>
    <row r="21" spans="1:24" x14ac:dyDescent="0.3">
      <c r="A21">
        <v>20</v>
      </c>
      <c r="B21" t="s">
        <v>160</v>
      </c>
      <c r="C21" t="s">
        <v>85</v>
      </c>
      <c r="D21" t="s">
        <v>82</v>
      </c>
      <c r="E21">
        <v>95</v>
      </c>
      <c r="F21">
        <v>85</v>
      </c>
      <c r="G21">
        <v>120</v>
      </c>
      <c r="H21">
        <v>90</v>
      </c>
      <c r="I21">
        <v>115</v>
      </c>
      <c r="J21">
        <v>60</v>
      </c>
      <c r="K21">
        <v>565</v>
      </c>
      <c r="L21" t="s">
        <v>278</v>
      </c>
      <c r="N21" t="s">
        <v>193</v>
      </c>
      <c r="O21" t="s">
        <v>279</v>
      </c>
      <c r="P21" t="s">
        <v>280</v>
      </c>
      <c r="Q21" t="s">
        <v>281</v>
      </c>
      <c r="R21" t="s">
        <v>198</v>
      </c>
      <c r="T21">
        <v>8</v>
      </c>
      <c r="U21" t="s">
        <v>199</v>
      </c>
      <c r="V21">
        <v>307.05491336554348</v>
      </c>
      <c r="X21" t="s">
        <v>282</v>
      </c>
    </row>
    <row r="22" spans="1:24" x14ac:dyDescent="0.3">
      <c r="A22">
        <v>21</v>
      </c>
      <c r="B22" t="s">
        <v>159</v>
      </c>
      <c r="C22" t="s">
        <v>65</v>
      </c>
      <c r="E22">
        <v>55</v>
      </c>
      <c r="F22">
        <v>55</v>
      </c>
      <c r="G22">
        <v>45</v>
      </c>
      <c r="H22">
        <v>60</v>
      </c>
      <c r="I22">
        <v>50</v>
      </c>
      <c r="J22">
        <v>60</v>
      </c>
      <c r="K22">
        <v>325</v>
      </c>
      <c r="L22" t="s">
        <v>283</v>
      </c>
      <c r="N22" t="s">
        <v>587</v>
      </c>
      <c r="O22" t="s">
        <v>588</v>
      </c>
      <c r="P22" t="s">
        <v>486</v>
      </c>
      <c r="Q22" t="s">
        <v>487</v>
      </c>
      <c r="R22" t="s">
        <v>158</v>
      </c>
      <c r="S22">
        <v>18</v>
      </c>
      <c r="T22">
        <v>4.5</v>
      </c>
      <c r="U22" t="s">
        <v>568</v>
      </c>
      <c r="V22">
        <v>103.84699922284121</v>
      </c>
      <c r="X22" t="s">
        <v>589</v>
      </c>
    </row>
    <row r="23" spans="1:24" x14ac:dyDescent="0.3">
      <c r="A23">
        <v>22</v>
      </c>
      <c r="B23" t="s">
        <v>158</v>
      </c>
      <c r="C23" t="s">
        <v>65</v>
      </c>
      <c r="E23">
        <v>75</v>
      </c>
      <c r="F23">
        <v>80</v>
      </c>
      <c r="G23">
        <v>65</v>
      </c>
      <c r="H23">
        <v>85</v>
      </c>
      <c r="I23">
        <v>70</v>
      </c>
      <c r="J23">
        <v>85</v>
      </c>
      <c r="K23">
        <v>460</v>
      </c>
      <c r="L23" t="s">
        <v>283</v>
      </c>
      <c r="N23" t="s">
        <v>484</v>
      </c>
      <c r="O23" t="s">
        <v>485</v>
      </c>
      <c r="P23" t="s">
        <v>486</v>
      </c>
      <c r="Q23" t="s">
        <v>487</v>
      </c>
      <c r="R23" t="s">
        <v>157</v>
      </c>
      <c r="S23">
        <v>36</v>
      </c>
      <c r="T23">
        <v>6.5</v>
      </c>
      <c r="U23" t="s">
        <v>424</v>
      </c>
      <c r="V23">
        <v>207.08567391832929</v>
      </c>
      <c r="X23" t="s">
        <v>488</v>
      </c>
    </row>
    <row r="24" spans="1:24" x14ac:dyDescent="0.3">
      <c r="A24">
        <v>23</v>
      </c>
      <c r="B24" t="s">
        <v>157</v>
      </c>
      <c r="C24" t="s">
        <v>65</v>
      </c>
      <c r="D24" t="s">
        <v>77</v>
      </c>
      <c r="E24">
        <v>90</v>
      </c>
      <c r="F24">
        <v>90</v>
      </c>
      <c r="G24">
        <v>90</v>
      </c>
      <c r="H24">
        <v>115</v>
      </c>
      <c r="I24">
        <v>90</v>
      </c>
      <c r="J24">
        <v>90</v>
      </c>
      <c r="K24">
        <v>565</v>
      </c>
      <c r="L24" t="s">
        <v>283</v>
      </c>
      <c r="N24" t="s">
        <v>284</v>
      </c>
      <c r="O24" t="s">
        <v>285</v>
      </c>
      <c r="P24" t="s">
        <v>286</v>
      </c>
      <c r="Q24" t="s">
        <v>287</v>
      </c>
      <c r="R24" t="s">
        <v>198</v>
      </c>
      <c r="T24">
        <v>9</v>
      </c>
      <c r="U24" t="s">
        <v>199</v>
      </c>
      <c r="V24">
        <v>304.74866260216237</v>
      </c>
      <c r="X24" t="s">
        <v>288</v>
      </c>
    </row>
    <row r="25" spans="1:24" x14ac:dyDescent="0.3">
      <c r="A25">
        <v>24</v>
      </c>
      <c r="B25" t="s">
        <v>156</v>
      </c>
      <c r="C25" t="s">
        <v>55</v>
      </c>
      <c r="D25" t="s">
        <v>64</v>
      </c>
      <c r="E25">
        <v>110</v>
      </c>
      <c r="F25">
        <v>130</v>
      </c>
      <c r="G25">
        <v>110</v>
      </c>
      <c r="H25">
        <v>100</v>
      </c>
      <c r="I25">
        <v>110</v>
      </c>
      <c r="J25">
        <v>100</v>
      </c>
      <c r="K25">
        <v>660</v>
      </c>
      <c r="L25" t="s">
        <v>612</v>
      </c>
      <c r="M25" t="s">
        <v>613</v>
      </c>
      <c r="N25" t="s">
        <v>605</v>
      </c>
      <c r="O25" t="s">
        <v>614</v>
      </c>
      <c r="P25" t="s">
        <v>563</v>
      </c>
      <c r="Q25" t="s">
        <v>615</v>
      </c>
      <c r="R25" t="s">
        <v>218</v>
      </c>
      <c r="T25">
        <v>9.5</v>
      </c>
      <c r="U25" t="s">
        <v>609</v>
      </c>
      <c r="V25">
        <v>418.97839820021818</v>
      </c>
      <c r="W25" t="s">
        <v>616</v>
      </c>
      <c r="X25" t="s">
        <v>617</v>
      </c>
    </row>
    <row r="26" spans="1:24" x14ac:dyDescent="0.3">
      <c r="A26">
        <v>25</v>
      </c>
      <c r="B26" t="s">
        <v>154</v>
      </c>
      <c r="C26" t="s">
        <v>61</v>
      </c>
      <c r="D26" t="s">
        <v>69</v>
      </c>
      <c r="E26">
        <v>100</v>
      </c>
      <c r="F26">
        <v>110</v>
      </c>
      <c r="G26">
        <v>90</v>
      </c>
      <c r="H26">
        <v>140</v>
      </c>
      <c r="I26">
        <v>120</v>
      </c>
      <c r="J26">
        <v>100</v>
      </c>
      <c r="K26">
        <v>660</v>
      </c>
      <c r="L26" t="s">
        <v>618</v>
      </c>
      <c r="M26" t="s">
        <v>619</v>
      </c>
      <c r="N26" t="s">
        <v>605</v>
      </c>
      <c r="O26" t="s">
        <v>620</v>
      </c>
      <c r="P26" t="s">
        <v>621</v>
      </c>
      <c r="Q26" t="s">
        <v>622</v>
      </c>
      <c r="R26" t="s">
        <v>218</v>
      </c>
      <c r="T26">
        <v>9.5</v>
      </c>
      <c r="U26" t="s">
        <v>609</v>
      </c>
      <c r="V26">
        <v>413.55765919701298</v>
      </c>
      <c r="W26" t="s">
        <v>623</v>
      </c>
      <c r="X26" t="s">
        <v>624</v>
      </c>
    </row>
    <row r="27" spans="1:24" x14ac:dyDescent="0.3">
      <c r="A27">
        <v>26</v>
      </c>
      <c r="B27" t="s">
        <v>1</v>
      </c>
      <c r="C27" t="s">
        <v>77</v>
      </c>
      <c r="D27" t="s">
        <v>74</v>
      </c>
      <c r="E27">
        <v>115</v>
      </c>
      <c r="F27">
        <v>135</v>
      </c>
      <c r="G27">
        <v>120</v>
      </c>
      <c r="H27">
        <v>110</v>
      </c>
      <c r="I27">
        <v>110</v>
      </c>
      <c r="J27">
        <v>100</v>
      </c>
      <c r="K27">
        <v>690</v>
      </c>
      <c r="L27" t="s">
        <v>603</v>
      </c>
      <c r="M27" t="s">
        <v>604</v>
      </c>
      <c r="N27" t="s">
        <v>605</v>
      </c>
      <c r="O27" t="s">
        <v>606</v>
      </c>
      <c r="P27" t="s">
        <v>607</v>
      </c>
      <c r="Q27" t="s">
        <v>608</v>
      </c>
      <c r="R27" t="s">
        <v>218</v>
      </c>
      <c r="T27">
        <v>9.5</v>
      </c>
      <c r="U27" t="s">
        <v>609</v>
      </c>
      <c r="V27">
        <v>453.36644648405405</v>
      </c>
      <c r="W27" t="s">
        <v>610</v>
      </c>
      <c r="X27" t="s">
        <v>611</v>
      </c>
    </row>
    <row r="28" spans="1:24" x14ac:dyDescent="0.3">
      <c r="A28">
        <v>27</v>
      </c>
      <c r="B28" t="s">
        <v>152</v>
      </c>
      <c r="C28" t="s">
        <v>73</v>
      </c>
      <c r="D28" t="s">
        <v>82</v>
      </c>
      <c r="E28">
        <v>100</v>
      </c>
      <c r="F28">
        <v>130</v>
      </c>
      <c r="G28">
        <v>90</v>
      </c>
      <c r="H28">
        <v>95</v>
      </c>
      <c r="I28">
        <v>100</v>
      </c>
      <c r="J28">
        <v>85</v>
      </c>
      <c r="K28">
        <v>600</v>
      </c>
      <c r="L28" t="s">
        <v>709</v>
      </c>
      <c r="M28" t="s">
        <v>710</v>
      </c>
      <c r="O28" t="s">
        <v>711</v>
      </c>
      <c r="P28" t="s">
        <v>379</v>
      </c>
      <c r="Q28" t="s">
        <v>712</v>
      </c>
      <c r="R28" t="s">
        <v>218</v>
      </c>
      <c r="T28">
        <v>8.5</v>
      </c>
      <c r="U28" t="s">
        <v>199</v>
      </c>
      <c r="V28">
        <v>337.89327182663101</v>
      </c>
      <c r="W28" t="s">
        <v>713</v>
      </c>
      <c r="X28" t="s">
        <v>714</v>
      </c>
    </row>
    <row r="29" spans="1:24" x14ac:dyDescent="0.3">
      <c r="A29">
        <v>28</v>
      </c>
      <c r="B29" t="s">
        <v>151</v>
      </c>
      <c r="C29" t="s">
        <v>85</v>
      </c>
      <c r="D29" t="s">
        <v>60</v>
      </c>
      <c r="E29">
        <v>100</v>
      </c>
      <c r="F29">
        <v>90</v>
      </c>
      <c r="G29">
        <v>100</v>
      </c>
      <c r="H29">
        <v>130</v>
      </c>
      <c r="I29">
        <v>95</v>
      </c>
      <c r="J29">
        <v>85</v>
      </c>
      <c r="K29">
        <v>600</v>
      </c>
      <c r="L29" t="s">
        <v>702</v>
      </c>
      <c r="M29" t="s">
        <v>703</v>
      </c>
      <c r="O29" t="s">
        <v>704</v>
      </c>
      <c r="P29" t="s">
        <v>705</v>
      </c>
      <c r="Q29" t="s">
        <v>706</v>
      </c>
      <c r="R29" t="s">
        <v>218</v>
      </c>
      <c r="T29">
        <v>8.5</v>
      </c>
      <c r="U29" t="s">
        <v>199</v>
      </c>
      <c r="V29">
        <v>337.89874600163495</v>
      </c>
      <c r="W29" t="s">
        <v>707</v>
      </c>
      <c r="X29" t="s">
        <v>708</v>
      </c>
    </row>
    <row r="30" spans="1:24" x14ac:dyDescent="0.3">
      <c r="A30">
        <v>29</v>
      </c>
      <c r="B30" t="s">
        <v>150</v>
      </c>
      <c r="C30" t="s">
        <v>55</v>
      </c>
      <c r="D30" t="s">
        <v>53</v>
      </c>
      <c r="E30">
        <v>100</v>
      </c>
      <c r="F30">
        <v>95</v>
      </c>
      <c r="G30">
        <v>95</v>
      </c>
      <c r="H30">
        <v>90</v>
      </c>
      <c r="I30">
        <v>100</v>
      </c>
      <c r="J30">
        <v>120</v>
      </c>
      <c r="K30">
        <v>600</v>
      </c>
      <c r="L30" t="s">
        <v>678</v>
      </c>
      <c r="M30" t="s">
        <v>679</v>
      </c>
      <c r="O30" t="s">
        <v>680</v>
      </c>
      <c r="P30" t="s">
        <v>405</v>
      </c>
      <c r="Q30" t="s">
        <v>681</v>
      </c>
      <c r="R30" t="s">
        <v>218</v>
      </c>
      <c r="T30">
        <v>8</v>
      </c>
      <c r="U30" t="s">
        <v>199</v>
      </c>
      <c r="V30">
        <v>346.45051568708732</v>
      </c>
      <c r="W30" t="s">
        <v>682</v>
      </c>
      <c r="X30" t="s">
        <v>683</v>
      </c>
    </row>
    <row r="31" spans="1:24" x14ac:dyDescent="0.3">
      <c r="A31">
        <v>30</v>
      </c>
      <c r="B31" t="s">
        <v>149</v>
      </c>
      <c r="C31" t="s">
        <v>65</v>
      </c>
      <c r="E31">
        <v>55</v>
      </c>
      <c r="F31">
        <v>60</v>
      </c>
      <c r="G31">
        <v>50</v>
      </c>
      <c r="H31">
        <v>55</v>
      </c>
      <c r="I31">
        <v>45</v>
      </c>
      <c r="J31">
        <v>70</v>
      </c>
      <c r="K31">
        <v>335</v>
      </c>
      <c r="L31" t="s">
        <v>283</v>
      </c>
      <c r="N31" t="s">
        <v>236</v>
      </c>
      <c r="O31" t="s">
        <v>585</v>
      </c>
      <c r="P31" t="s">
        <v>423</v>
      </c>
      <c r="Q31" t="s">
        <v>65</v>
      </c>
      <c r="R31" t="s">
        <v>148</v>
      </c>
      <c r="S31">
        <v>16</v>
      </c>
      <c r="T31">
        <v>4</v>
      </c>
      <c r="U31" t="s">
        <v>568</v>
      </c>
      <c r="V31">
        <v>110.61282020683772</v>
      </c>
      <c r="X31" t="s">
        <v>586</v>
      </c>
    </row>
    <row r="32" spans="1:24" x14ac:dyDescent="0.3">
      <c r="A32">
        <v>31</v>
      </c>
      <c r="B32" t="s">
        <v>148</v>
      </c>
      <c r="C32" t="s">
        <v>65</v>
      </c>
      <c r="E32">
        <v>80</v>
      </c>
      <c r="F32">
        <v>85</v>
      </c>
      <c r="G32">
        <v>75</v>
      </c>
      <c r="H32">
        <v>80</v>
      </c>
      <c r="I32">
        <v>70</v>
      </c>
      <c r="J32">
        <v>110</v>
      </c>
      <c r="K32">
        <v>500</v>
      </c>
      <c r="L32" t="s">
        <v>283</v>
      </c>
      <c r="N32" t="s">
        <v>236</v>
      </c>
      <c r="O32" t="s">
        <v>422</v>
      </c>
      <c r="P32" t="s">
        <v>423</v>
      </c>
      <c r="Q32" t="s">
        <v>65</v>
      </c>
      <c r="R32" t="s">
        <v>147</v>
      </c>
      <c r="S32">
        <v>36</v>
      </c>
      <c r="T32">
        <v>6</v>
      </c>
      <c r="U32" t="s">
        <v>424</v>
      </c>
      <c r="V32">
        <v>246.7427142388342</v>
      </c>
      <c r="X32" t="s">
        <v>425</v>
      </c>
    </row>
    <row r="33" spans="1:24" x14ac:dyDescent="0.3">
      <c r="A33">
        <v>32</v>
      </c>
      <c r="B33" t="s">
        <v>147</v>
      </c>
      <c r="C33" t="s">
        <v>65</v>
      </c>
      <c r="E33">
        <v>110</v>
      </c>
      <c r="F33">
        <v>110</v>
      </c>
      <c r="G33">
        <v>100</v>
      </c>
      <c r="H33">
        <v>100</v>
      </c>
      <c r="I33">
        <v>90</v>
      </c>
      <c r="J33">
        <v>140</v>
      </c>
      <c r="K33">
        <v>650</v>
      </c>
      <c r="L33" t="s">
        <v>283</v>
      </c>
      <c r="N33" t="s">
        <v>236</v>
      </c>
      <c r="O33" t="s">
        <v>625</v>
      </c>
      <c r="P33" t="s">
        <v>423</v>
      </c>
      <c r="Q33" t="s">
        <v>65</v>
      </c>
      <c r="R33" t="s">
        <v>198</v>
      </c>
      <c r="T33">
        <v>9</v>
      </c>
      <c r="U33" t="s">
        <v>199</v>
      </c>
      <c r="V33">
        <v>389.44176360210332</v>
      </c>
      <c r="W33" t="s">
        <v>626</v>
      </c>
      <c r="X33" t="s">
        <v>627</v>
      </c>
    </row>
    <row r="34" spans="1:24" x14ac:dyDescent="0.3">
      <c r="A34">
        <v>33</v>
      </c>
      <c r="B34" t="s">
        <v>146</v>
      </c>
      <c r="C34" t="s">
        <v>73</v>
      </c>
      <c r="E34">
        <v>58</v>
      </c>
      <c r="F34">
        <v>66</v>
      </c>
      <c r="G34">
        <v>54</v>
      </c>
      <c r="H34">
        <v>60</v>
      </c>
      <c r="I34">
        <v>48</v>
      </c>
      <c r="J34">
        <v>64</v>
      </c>
      <c r="K34">
        <v>350</v>
      </c>
      <c r="L34" t="s">
        <v>272</v>
      </c>
      <c r="N34" t="s">
        <v>236</v>
      </c>
      <c r="O34" t="s">
        <v>570</v>
      </c>
      <c r="P34" t="s">
        <v>303</v>
      </c>
      <c r="Q34" t="s">
        <v>73</v>
      </c>
      <c r="R34" t="s">
        <v>145</v>
      </c>
      <c r="S34">
        <v>30</v>
      </c>
      <c r="T34">
        <v>3.5</v>
      </c>
      <c r="U34" t="s">
        <v>568</v>
      </c>
      <c r="V34">
        <v>118.31052720547011</v>
      </c>
      <c r="X34" t="s">
        <v>571</v>
      </c>
    </row>
    <row r="35" spans="1:24" x14ac:dyDescent="0.3">
      <c r="A35">
        <v>34</v>
      </c>
      <c r="B35" t="s">
        <v>145</v>
      </c>
      <c r="C35" t="s">
        <v>73</v>
      </c>
      <c r="D35" t="s">
        <v>55</v>
      </c>
      <c r="E35">
        <v>90</v>
      </c>
      <c r="F35">
        <v>120</v>
      </c>
      <c r="G35">
        <v>100</v>
      </c>
      <c r="H35">
        <v>75</v>
      </c>
      <c r="I35">
        <v>80</v>
      </c>
      <c r="J35">
        <v>85</v>
      </c>
      <c r="K35">
        <v>550</v>
      </c>
      <c r="L35" t="s">
        <v>272</v>
      </c>
      <c r="N35" t="s">
        <v>236</v>
      </c>
      <c r="O35" t="s">
        <v>302</v>
      </c>
      <c r="P35" t="s">
        <v>303</v>
      </c>
      <c r="Q35" t="s">
        <v>304</v>
      </c>
      <c r="R35" t="s">
        <v>198</v>
      </c>
      <c r="T35">
        <v>7</v>
      </c>
      <c r="U35" t="s">
        <v>233</v>
      </c>
      <c r="V35">
        <v>290.77554534875418</v>
      </c>
      <c r="X35" t="s">
        <v>305</v>
      </c>
    </row>
    <row r="36" spans="1:24" x14ac:dyDescent="0.3">
      <c r="A36">
        <v>35</v>
      </c>
      <c r="B36" t="s">
        <v>144</v>
      </c>
      <c r="C36" t="s">
        <v>52</v>
      </c>
      <c r="D36" t="s">
        <v>60</v>
      </c>
      <c r="E36">
        <v>45</v>
      </c>
      <c r="F36">
        <v>60</v>
      </c>
      <c r="G36">
        <v>40</v>
      </c>
      <c r="H36">
        <v>55</v>
      </c>
      <c r="I36">
        <v>45</v>
      </c>
      <c r="J36">
        <v>70</v>
      </c>
      <c r="K36">
        <v>315</v>
      </c>
      <c r="L36" t="s">
        <v>465</v>
      </c>
      <c r="N36" t="s">
        <v>353</v>
      </c>
      <c r="O36" t="s">
        <v>592</v>
      </c>
      <c r="P36" t="s">
        <v>467</v>
      </c>
      <c r="Q36" t="s">
        <v>468</v>
      </c>
      <c r="R36" t="s">
        <v>143</v>
      </c>
      <c r="S36">
        <v>20</v>
      </c>
      <c r="T36">
        <v>6.5</v>
      </c>
      <c r="U36" t="s">
        <v>424</v>
      </c>
      <c r="V36">
        <v>95.803866074068353</v>
      </c>
      <c r="X36" t="s">
        <v>593</v>
      </c>
    </row>
    <row r="37" spans="1:24" x14ac:dyDescent="0.3">
      <c r="A37">
        <v>36</v>
      </c>
      <c r="B37" t="s">
        <v>143</v>
      </c>
      <c r="C37" t="s">
        <v>52</v>
      </c>
      <c r="D37" t="s">
        <v>60</v>
      </c>
      <c r="E37">
        <v>70</v>
      </c>
      <c r="F37">
        <v>85</v>
      </c>
      <c r="G37">
        <v>60</v>
      </c>
      <c r="H37">
        <v>90</v>
      </c>
      <c r="I37">
        <v>70</v>
      </c>
      <c r="J37">
        <v>100</v>
      </c>
      <c r="K37">
        <v>475</v>
      </c>
      <c r="L37" t="s">
        <v>465</v>
      </c>
      <c r="N37" t="s">
        <v>353</v>
      </c>
      <c r="O37" t="s">
        <v>466</v>
      </c>
      <c r="P37" t="s">
        <v>467</v>
      </c>
      <c r="Q37" t="s">
        <v>468</v>
      </c>
      <c r="R37" t="s">
        <v>198</v>
      </c>
      <c r="T37">
        <v>7</v>
      </c>
      <c r="U37" t="s">
        <v>233</v>
      </c>
      <c r="V37">
        <v>224.57813858290154</v>
      </c>
      <c r="X37" t="s">
        <v>469</v>
      </c>
    </row>
    <row r="38" spans="1:24" x14ac:dyDescent="0.3">
      <c r="A38">
        <v>37</v>
      </c>
      <c r="B38" t="s">
        <v>142</v>
      </c>
      <c r="C38" t="s">
        <v>85</v>
      </c>
      <c r="D38" t="s">
        <v>77</v>
      </c>
      <c r="E38">
        <v>60</v>
      </c>
      <c r="F38">
        <v>45</v>
      </c>
      <c r="G38">
        <v>55</v>
      </c>
      <c r="H38">
        <v>75</v>
      </c>
      <c r="I38">
        <v>70</v>
      </c>
      <c r="J38">
        <v>65</v>
      </c>
      <c r="K38">
        <v>370</v>
      </c>
      <c r="L38" t="s">
        <v>193</v>
      </c>
      <c r="N38" t="s">
        <v>363</v>
      </c>
      <c r="O38" t="s">
        <v>551</v>
      </c>
      <c r="P38" t="s">
        <v>365</v>
      </c>
      <c r="Q38" t="s">
        <v>366</v>
      </c>
      <c r="R38" t="s">
        <v>141</v>
      </c>
      <c r="S38">
        <v>26</v>
      </c>
      <c r="T38">
        <v>6</v>
      </c>
      <c r="U38" t="s">
        <v>424</v>
      </c>
      <c r="V38">
        <v>137.0663222255148</v>
      </c>
      <c r="X38" t="s">
        <v>552</v>
      </c>
    </row>
    <row r="39" spans="1:24" x14ac:dyDescent="0.3">
      <c r="A39">
        <v>38</v>
      </c>
      <c r="B39" t="s">
        <v>141</v>
      </c>
      <c r="C39" t="s">
        <v>85</v>
      </c>
      <c r="D39" t="s">
        <v>77</v>
      </c>
      <c r="E39">
        <v>85</v>
      </c>
      <c r="F39">
        <v>70</v>
      </c>
      <c r="G39">
        <v>80</v>
      </c>
      <c r="H39">
        <v>110</v>
      </c>
      <c r="I39">
        <v>95</v>
      </c>
      <c r="J39">
        <v>90</v>
      </c>
      <c r="K39">
        <v>530</v>
      </c>
      <c r="L39" t="s">
        <v>193</v>
      </c>
      <c r="N39" t="s">
        <v>363</v>
      </c>
      <c r="O39" t="s">
        <v>364</v>
      </c>
      <c r="P39" t="s">
        <v>365</v>
      </c>
      <c r="Q39" t="s">
        <v>366</v>
      </c>
      <c r="R39" t="s">
        <v>198</v>
      </c>
      <c r="T39">
        <v>7.5</v>
      </c>
      <c r="U39" t="s">
        <v>233</v>
      </c>
      <c r="V39">
        <v>272.7859576082688</v>
      </c>
      <c r="X39" t="s">
        <v>367</v>
      </c>
    </row>
    <row r="40" spans="1:24" x14ac:dyDescent="0.3">
      <c r="A40">
        <v>39</v>
      </c>
      <c r="B40" t="s">
        <v>140</v>
      </c>
      <c r="C40" t="s">
        <v>73</v>
      </c>
      <c r="D40" t="s">
        <v>53</v>
      </c>
      <c r="E40">
        <v>55</v>
      </c>
      <c r="F40">
        <v>75</v>
      </c>
      <c r="G40">
        <v>50</v>
      </c>
      <c r="H40">
        <v>60</v>
      </c>
      <c r="I40">
        <v>50</v>
      </c>
      <c r="J40">
        <v>80</v>
      </c>
      <c r="K40">
        <v>370</v>
      </c>
      <c r="L40" t="s">
        <v>272</v>
      </c>
      <c r="N40" t="s">
        <v>316</v>
      </c>
      <c r="O40" t="s">
        <v>553</v>
      </c>
      <c r="P40" t="s">
        <v>318</v>
      </c>
      <c r="Q40" t="s">
        <v>319</v>
      </c>
      <c r="R40" t="s">
        <v>139</v>
      </c>
      <c r="S40">
        <v>32</v>
      </c>
      <c r="T40">
        <v>8</v>
      </c>
      <c r="U40" t="s">
        <v>199</v>
      </c>
      <c r="V40">
        <v>133.88768525643712</v>
      </c>
      <c r="X40" t="s">
        <v>554</v>
      </c>
    </row>
    <row r="41" spans="1:24" x14ac:dyDescent="0.3">
      <c r="A41">
        <v>40</v>
      </c>
      <c r="B41" t="s">
        <v>139</v>
      </c>
      <c r="C41" t="s">
        <v>73</v>
      </c>
      <c r="D41" t="s">
        <v>53</v>
      </c>
      <c r="E41">
        <v>80</v>
      </c>
      <c r="F41">
        <v>105</v>
      </c>
      <c r="G41">
        <v>75</v>
      </c>
      <c r="H41">
        <v>90</v>
      </c>
      <c r="I41">
        <v>75</v>
      </c>
      <c r="J41">
        <v>110</v>
      </c>
      <c r="K41">
        <v>535</v>
      </c>
      <c r="L41" t="s">
        <v>272</v>
      </c>
      <c r="N41" t="s">
        <v>316</v>
      </c>
      <c r="O41" t="s">
        <v>317</v>
      </c>
      <c r="P41" t="s">
        <v>318</v>
      </c>
      <c r="Q41" t="s">
        <v>319</v>
      </c>
      <c r="R41" t="s">
        <v>198</v>
      </c>
      <c r="T41">
        <v>7</v>
      </c>
      <c r="U41" t="s">
        <v>233</v>
      </c>
      <c r="V41">
        <v>283.4159925689292</v>
      </c>
      <c r="X41" t="s">
        <v>320</v>
      </c>
    </row>
    <row r="42" spans="1:24" x14ac:dyDescent="0.3">
      <c r="A42">
        <v>41</v>
      </c>
      <c r="B42" t="s">
        <v>138</v>
      </c>
      <c r="C42" t="s">
        <v>61</v>
      </c>
      <c r="D42" t="s">
        <v>70</v>
      </c>
      <c r="E42">
        <v>60</v>
      </c>
      <c r="F42">
        <v>50</v>
      </c>
      <c r="G42">
        <v>70</v>
      </c>
      <c r="H42">
        <v>90</v>
      </c>
      <c r="I42">
        <v>75</v>
      </c>
      <c r="J42">
        <v>95</v>
      </c>
      <c r="K42">
        <v>440</v>
      </c>
      <c r="L42" t="s">
        <v>235</v>
      </c>
      <c r="M42" t="s">
        <v>236</v>
      </c>
      <c r="N42" t="s">
        <v>229</v>
      </c>
      <c r="O42" t="s">
        <v>514</v>
      </c>
      <c r="P42" t="s">
        <v>238</v>
      </c>
      <c r="Q42" t="s">
        <v>239</v>
      </c>
      <c r="R42" t="s">
        <v>137</v>
      </c>
      <c r="S42">
        <v>30</v>
      </c>
      <c r="T42">
        <v>6.5</v>
      </c>
      <c r="U42" t="s">
        <v>424</v>
      </c>
      <c r="V42">
        <v>189.29119385232144</v>
      </c>
      <c r="X42" t="s">
        <v>515</v>
      </c>
    </row>
    <row r="43" spans="1:24" x14ac:dyDescent="0.3">
      <c r="A43">
        <v>42</v>
      </c>
      <c r="B43" t="s">
        <v>137</v>
      </c>
      <c r="C43" t="s">
        <v>61</v>
      </c>
      <c r="D43" t="s">
        <v>70</v>
      </c>
      <c r="E43">
        <v>85</v>
      </c>
      <c r="F43">
        <v>70</v>
      </c>
      <c r="G43">
        <v>90</v>
      </c>
      <c r="H43">
        <v>120</v>
      </c>
      <c r="I43">
        <v>100</v>
      </c>
      <c r="J43">
        <v>110</v>
      </c>
      <c r="K43">
        <v>575</v>
      </c>
      <c r="L43" t="s">
        <v>235</v>
      </c>
      <c r="M43" t="s">
        <v>236</v>
      </c>
      <c r="N43" t="s">
        <v>229</v>
      </c>
      <c r="O43" t="s">
        <v>237</v>
      </c>
      <c r="P43" t="s">
        <v>238</v>
      </c>
      <c r="Q43" t="s">
        <v>239</v>
      </c>
      <c r="R43" t="s">
        <v>198</v>
      </c>
      <c r="T43">
        <v>7.5</v>
      </c>
      <c r="U43" t="s">
        <v>233</v>
      </c>
      <c r="V43">
        <v>322.29494264535401</v>
      </c>
      <c r="X43" t="s">
        <v>240</v>
      </c>
    </row>
    <row r="44" spans="1:24" x14ac:dyDescent="0.3">
      <c r="A44">
        <v>43</v>
      </c>
      <c r="B44" t="s">
        <v>136</v>
      </c>
      <c r="C44" t="s">
        <v>87</v>
      </c>
      <c r="D44" t="s">
        <v>53</v>
      </c>
      <c r="E44">
        <v>75</v>
      </c>
      <c r="F44">
        <v>100</v>
      </c>
      <c r="G44">
        <v>85</v>
      </c>
      <c r="H44">
        <v>60</v>
      </c>
      <c r="I44">
        <v>75</v>
      </c>
      <c r="J44">
        <v>90</v>
      </c>
      <c r="K44">
        <v>485</v>
      </c>
      <c r="L44" t="s">
        <v>450</v>
      </c>
      <c r="M44" t="s">
        <v>451</v>
      </c>
      <c r="N44" t="s">
        <v>452</v>
      </c>
      <c r="O44" t="s">
        <v>453</v>
      </c>
      <c r="P44" t="s">
        <v>454</v>
      </c>
      <c r="Q44" t="s">
        <v>455</v>
      </c>
      <c r="R44" t="s">
        <v>198</v>
      </c>
      <c r="T44">
        <v>6</v>
      </c>
      <c r="U44" t="s">
        <v>424</v>
      </c>
      <c r="V44">
        <v>231.49969554652523</v>
      </c>
      <c r="X44" t="s">
        <v>456</v>
      </c>
    </row>
    <row r="45" spans="1:24" x14ac:dyDescent="0.3">
      <c r="A45">
        <v>44</v>
      </c>
      <c r="B45" t="s">
        <v>135</v>
      </c>
      <c r="C45" t="s">
        <v>60</v>
      </c>
      <c r="D45" t="s">
        <v>74</v>
      </c>
      <c r="E45">
        <v>60</v>
      </c>
      <c r="F45">
        <v>65</v>
      </c>
      <c r="G45">
        <v>60</v>
      </c>
      <c r="H45">
        <v>95</v>
      </c>
      <c r="I45">
        <v>90</v>
      </c>
      <c r="J45">
        <v>85</v>
      </c>
      <c r="K45">
        <v>455</v>
      </c>
      <c r="L45" t="s">
        <v>439</v>
      </c>
      <c r="M45" t="s">
        <v>489</v>
      </c>
      <c r="N45" t="s">
        <v>343</v>
      </c>
      <c r="O45" t="s">
        <v>490</v>
      </c>
      <c r="P45" t="s">
        <v>491</v>
      </c>
      <c r="Q45" t="s">
        <v>492</v>
      </c>
      <c r="R45" t="s">
        <v>198</v>
      </c>
      <c r="T45">
        <v>6</v>
      </c>
      <c r="U45" t="s">
        <v>424</v>
      </c>
      <c r="V45">
        <v>199.7363630158124</v>
      </c>
      <c r="X45" t="s">
        <v>493</v>
      </c>
    </row>
    <row r="46" spans="1:24" x14ac:dyDescent="0.3">
      <c r="A46">
        <v>45</v>
      </c>
      <c r="B46" t="s">
        <v>134</v>
      </c>
      <c r="C46" t="s">
        <v>69</v>
      </c>
      <c r="D46" t="s">
        <v>91</v>
      </c>
      <c r="E46">
        <v>70</v>
      </c>
      <c r="F46">
        <v>110</v>
      </c>
      <c r="G46">
        <v>65</v>
      </c>
      <c r="H46">
        <v>90</v>
      </c>
      <c r="I46">
        <v>70</v>
      </c>
      <c r="J46">
        <v>115</v>
      </c>
      <c r="K46">
        <v>520</v>
      </c>
      <c r="L46" t="s">
        <v>248</v>
      </c>
      <c r="M46" t="s">
        <v>373</v>
      </c>
      <c r="N46" t="s">
        <v>273</v>
      </c>
      <c r="O46" t="s">
        <v>374</v>
      </c>
      <c r="P46" t="s">
        <v>375</v>
      </c>
      <c r="Q46" t="s">
        <v>376</v>
      </c>
      <c r="R46" t="s">
        <v>198</v>
      </c>
      <c r="T46">
        <v>7.5</v>
      </c>
      <c r="U46" t="s">
        <v>233</v>
      </c>
      <c r="V46">
        <v>269.60134058437649</v>
      </c>
      <c r="X46" t="s">
        <v>377</v>
      </c>
    </row>
    <row r="47" spans="1:24" x14ac:dyDescent="0.3">
      <c r="A47">
        <v>46</v>
      </c>
      <c r="B47" t="s">
        <v>133</v>
      </c>
      <c r="C47" t="s">
        <v>60</v>
      </c>
      <c r="D47" t="s">
        <v>70</v>
      </c>
      <c r="E47">
        <v>60</v>
      </c>
      <c r="F47">
        <v>85</v>
      </c>
      <c r="G47">
        <v>55</v>
      </c>
      <c r="H47">
        <v>75</v>
      </c>
      <c r="I47">
        <v>60</v>
      </c>
      <c r="J47">
        <v>100</v>
      </c>
      <c r="K47">
        <v>435</v>
      </c>
      <c r="L47" t="s">
        <v>227</v>
      </c>
      <c r="M47" t="s">
        <v>228</v>
      </c>
      <c r="N47" t="s">
        <v>229</v>
      </c>
      <c r="O47" t="s">
        <v>516</v>
      </c>
      <c r="P47" t="s">
        <v>231</v>
      </c>
      <c r="Q47" t="s">
        <v>232</v>
      </c>
      <c r="R47" t="s">
        <v>132</v>
      </c>
      <c r="S47">
        <v>24</v>
      </c>
      <c r="T47">
        <v>6</v>
      </c>
      <c r="U47" t="s">
        <v>424</v>
      </c>
      <c r="V47">
        <v>188.87326897915239</v>
      </c>
      <c r="X47" t="s">
        <v>517</v>
      </c>
    </row>
    <row r="48" spans="1:24" x14ac:dyDescent="0.3">
      <c r="A48">
        <v>47</v>
      </c>
      <c r="B48" t="s">
        <v>132</v>
      </c>
      <c r="C48" t="s">
        <v>60</v>
      </c>
      <c r="D48" t="s">
        <v>70</v>
      </c>
      <c r="E48">
        <v>85</v>
      </c>
      <c r="F48">
        <v>110</v>
      </c>
      <c r="G48">
        <v>80</v>
      </c>
      <c r="H48">
        <v>95</v>
      </c>
      <c r="I48">
        <v>85</v>
      </c>
      <c r="J48">
        <v>125</v>
      </c>
      <c r="K48">
        <v>580</v>
      </c>
      <c r="L48" t="s">
        <v>227</v>
      </c>
      <c r="M48" t="s">
        <v>228</v>
      </c>
      <c r="N48" t="s">
        <v>229</v>
      </c>
      <c r="O48" t="s">
        <v>230</v>
      </c>
      <c r="P48" t="s">
        <v>231</v>
      </c>
      <c r="Q48" t="s">
        <v>232</v>
      </c>
      <c r="R48" t="s">
        <v>198</v>
      </c>
      <c r="T48">
        <v>7.5</v>
      </c>
      <c r="U48" t="s">
        <v>233</v>
      </c>
      <c r="V48">
        <v>322.73378825636058</v>
      </c>
      <c r="X48" t="s">
        <v>234</v>
      </c>
    </row>
    <row r="49" spans="1:24" x14ac:dyDescent="0.3">
      <c r="A49">
        <v>48</v>
      </c>
      <c r="B49" t="s">
        <v>131</v>
      </c>
      <c r="C49" t="s">
        <v>61</v>
      </c>
      <c r="D49" t="s">
        <v>53</v>
      </c>
      <c r="E49">
        <v>65</v>
      </c>
      <c r="F49">
        <v>60</v>
      </c>
      <c r="G49">
        <v>75</v>
      </c>
      <c r="H49">
        <v>90</v>
      </c>
      <c r="I49">
        <v>80</v>
      </c>
      <c r="J49">
        <v>60</v>
      </c>
      <c r="K49">
        <v>430</v>
      </c>
      <c r="L49" t="s">
        <v>259</v>
      </c>
      <c r="M49" t="s">
        <v>260</v>
      </c>
      <c r="N49" t="s">
        <v>261</v>
      </c>
      <c r="O49" t="s">
        <v>531</v>
      </c>
      <c r="P49" t="s">
        <v>263</v>
      </c>
      <c r="Q49" t="s">
        <v>264</v>
      </c>
      <c r="R49" t="s">
        <v>130</v>
      </c>
      <c r="S49">
        <v>30</v>
      </c>
      <c r="T49">
        <v>6</v>
      </c>
      <c r="U49" t="s">
        <v>424</v>
      </c>
      <c r="V49">
        <v>179.18191483765048</v>
      </c>
      <c r="X49" t="s">
        <v>532</v>
      </c>
    </row>
    <row r="50" spans="1:24" x14ac:dyDescent="0.3">
      <c r="A50">
        <v>49</v>
      </c>
      <c r="B50" t="s">
        <v>130</v>
      </c>
      <c r="C50" t="s">
        <v>61</v>
      </c>
      <c r="D50" t="s">
        <v>53</v>
      </c>
      <c r="E50">
        <v>90</v>
      </c>
      <c r="F50">
        <v>80</v>
      </c>
      <c r="G50">
        <v>100</v>
      </c>
      <c r="H50">
        <v>120</v>
      </c>
      <c r="I50">
        <v>110</v>
      </c>
      <c r="J50">
        <v>80</v>
      </c>
      <c r="K50">
        <v>580</v>
      </c>
      <c r="L50" t="s">
        <v>259</v>
      </c>
      <c r="M50" t="s">
        <v>260</v>
      </c>
      <c r="N50" t="s">
        <v>261</v>
      </c>
      <c r="O50" t="s">
        <v>262</v>
      </c>
      <c r="P50" t="s">
        <v>263</v>
      </c>
      <c r="Q50" t="s">
        <v>264</v>
      </c>
      <c r="R50" t="s">
        <v>198</v>
      </c>
      <c r="T50">
        <v>7.5</v>
      </c>
      <c r="U50" t="s">
        <v>233</v>
      </c>
      <c r="V50">
        <v>315.51934418168906</v>
      </c>
      <c r="X50" t="s">
        <v>265</v>
      </c>
    </row>
    <row r="51" spans="1:24" x14ac:dyDescent="0.3">
      <c r="A51">
        <v>50</v>
      </c>
      <c r="B51" t="s">
        <v>129</v>
      </c>
      <c r="C51" t="s">
        <v>74</v>
      </c>
      <c r="D51" t="s">
        <v>82</v>
      </c>
      <c r="E51">
        <v>80</v>
      </c>
      <c r="F51">
        <v>100</v>
      </c>
      <c r="G51">
        <v>130</v>
      </c>
      <c r="H51">
        <v>60</v>
      </c>
      <c r="I51">
        <v>130</v>
      </c>
      <c r="J51">
        <v>50</v>
      </c>
      <c r="K51">
        <v>550</v>
      </c>
      <c r="L51" t="s">
        <v>310</v>
      </c>
      <c r="N51" t="s">
        <v>311</v>
      </c>
      <c r="O51" t="s">
        <v>312</v>
      </c>
      <c r="P51" t="s">
        <v>313</v>
      </c>
      <c r="Q51" t="s">
        <v>314</v>
      </c>
      <c r="R51" t="s">
        <v>198</v>
      </c>
      <c r="T51">
        <v>7</v>
      </c>
      <c r="U51" t="s">
        <v>233</v>
      </c>
      <c r="V51">
        <v>287.49541031450104</v>
      </c>
      <c r="X51" t="s">
        <v>315</v>
      </c>
    </row>
    <row r="52" spans="1:24" x14ac:dyDescent="0.3">
      <c r="A52">
        <v>51</v>
      </c>
      <c r="B52" t="s">
        <v>128</v>
      </c>
      <c r="C52" t="s">
        <v>52</v>
      </c>
      <c r="D52" t="s">
        <v>65</v>
      </c>
      <c r="E52">
        <v>55</v>
      </c>
      <c r="F52">
        <v>70</v>
      </c>
      <c r="G52">
        <v>45</v>
      </c>
      <c r="H52">
        <v>40</v>
      </c>
      <c r="I52">
        <v>50</v>
      </c>
      <c r="J52">
        <v>80</v>
      </c>
      <c r="K52">
        <v>340</v>
      </c>
      <c r="L52" t="s">
        <v>428</v>
      </c>
      <c r="M52" t="s">
        <v>461</v>
      </c>
      <c r="N52" t="s">
        <v>283</v>
      </c>
      <c r="O52" t="s">
        <v>577</v>
      </c>
      <c r="P52" t="s">
        <v>436</v>
      </c>
      <c r="Q52" t="s">
        <v>463</v>
      </c>
      <c r="R52" t="s">
        <v>127</v>
      </c>
      <c r="S52">
        <v>20</v>
      </c>
      <c r="V52">
        <v>113.21181278232093</v>
      </c>
      <c r="X52" t="s">
        <v>578</v>
      </c>
    </row>
    <row r="53" spans="1:24" x14ac:dyDescent="0.3">
      <c r="A53">
        <v>52</v>
      </c>
      <c r="B53" t="s">
        <v>127</v>
      </c>
      <c r="C53" t="s">
        <v>52</v>
      </c>
      <c r="D53" t="s">
        <v>65</v>
      </c>
      <c r="E53">
        <v>75</v>
      </c>
      <c r="F53">
        <v>100</v>
      </c>
      <c r="G53">
        <v>65</v>
      </c>
      <c r="H53">
        <v>60</v>
      </c>
      <c r="I53">
        <v>70</v>
      </c>
      <c r="J53">
        <v>110</v>
      </c>
      <c r="K53">
        <v>480</v>
      </c>
      <c r="L53" t="s">
        <v>428</v>
      </c>
      <c r="M53" t="s">
        <v>461</v>
      </c>
      <c r="N53" t="s">
        <v>283</v>
      </c>
      <c r="O53" t="s">
        <v>462</v>
      </c>
      <c r="P53" t="s">
        <v>436</v>
      </c>
      <c r="Q53" t="s">
        <v>463</v>
      </c>
      <c r="R53" t="s">
        <v>198</v>
      </c>
      <c r="V53">
        <v>229.81294236268928</v>
      </c>
      <c r="X53" t="s">
        <v>464</v>
      </c>
    </row>
    <row r="54" spans="1:24" x14ac:dyDescent="0.3">
      <c r="A54">
        <v>53</v>
      </c>
      <c r="B54" t="s">
        <v>126</v>
      </c>
      <c r="C54" t="s">
        <v>64</v>
      </c>
      <c r="D54" t="s">
        <v>77</v>
      </c>
      <c r="E54">
        <v>50</v>
      </c>
      <c r="F54">
        <v>60</v>
      </c>
      <c r="G54">
        <v>40</v>
      </c>
      <c r="H54">
        <v>70</v>
      </c>
      <c r="I54">
        <v>55</v>
      </c>
      <c r="J54">
        <v>65</v>
      </c>
      <c r="K54">
        <v>340</v>
      </c>
      <c r="L54" t="s">
        <v>382</v>
      </c>
      <c r="M54" t="s">
        <v>383</v>
      </c>
      <c r="N54" t="s">
        <v>384</v>
      </c>
      <c r="O54" t="s">
        <v>583</v>
      </c>
      <c r="P54" t="s">
        <v>386</v>
      </c>
      <c r="Q54" t="s">
        <v>387</v>
      </c>
      <c r="R54" t="s">
        <v>125</v>
      </c>
      <c r="S54">
        <v>30</v>
      </c>
      <c r="V54">
        <v>111.51122000016419</v>
      </c>
      <c r="X54" t="s">
        <v>584</v>
      </c>
    </row>
    <row r="55" spans="1:24" x14ac:dyDescent="0.3">
      <c r="A55">
        <v>54</v>
      </c>
      <c r="B55" t="s">
        <v>125</v>
      </c>
      <c r="C55" t="s">
        <v>64</v>
      </c>
      <c r="D55" t="s">
        <v>77</v>
      </c>
      <c r="E55">
        <v>80</v>
      </c>
      <c r="F55">
        <v>90</v>
      </c>
      <c r="G55">
        <v>70</v>
      </c>
      <c r="H55">
        <v>100</v>
      </c>
      <c r="I55">
        <v>85</v>
      </c>
      <c r="J55">
        <v>95</v>
      </c>
      <c r="K55">
        <v>520</v>
      </c>
      <c r="L55" t="s">
        <v>382</v>
      </c>
      <c r="M55" t="s">
        <v>383</v>
      </c>
      <c r="N55" t="s">
        <v>384</v>
      </c>
      <c r="O55" t="s">
        <v>385</v>
      </c>
      <c r="P55" t="s">
        <v>386</v>
      </c>
      <c r="Q55" t="s">
        <v>387</v>
      </c>
      <c r="R55" t="s">
        <v>198</v>
      </c>
      <c r="V55">
        <v>263.35469127072349</v>
      </c>
      <c r="X55" t="s">
        <v>388</v>
      </c>
    </row>
    <row r="56" spans="1:24" x14ac:dyDescent="0.3">
      <c r="A56">
        <v>55</v>
      </c>
      <c r="B56" t="s">
        <v>124</v>
      </c>
      <c r="C56" t="s">
        <v>87</v>
      </c>
      <c r="D56" t="s">
        <v>85</v>
      </c>
      <c r="E56">
        <v>60</v>
      </c>
      <c r="F56">
        <v>75</v>
      </c>
      <c r="G56">
        <v>105</v>
      </c>
      <c r="H56">
        <v>45</v>
      </c>
      <c r="I56">
        <v>70</v>
      </c>
      <c r="J56">
        <v>45</v>
      </c>
      <c r="K56">
        <v>400</v>
      </c>
      <c r="L56" t="s">
        <v>295</v>
      </c>
      <c r="M56" t="s">
        <v>296</v>
      </c>
      <c r="N56" t="s">
        <v>297</v>
      </c>
      <c r="O56" t="s">
        <v>535</v>
      </c>
      <c r="P56" t="s">
        <v>299</v>
      </c>
      <c r="Q56" t="s">
        <v>300</v>
      </c>
      <c r="R56" t="s">
        <v>123</v>
      </c>
      <c r="S56">
        <v>28</v>
      </c>
      <c r="V56">
        <v>163.09782675135676</v>
      </c>
      <c r="X56" t="s">
        <v>536</v>
      </c>
    </row>
    <row r="57" spans="1:24" x14ac:dyDescent="0.3">
      <c r="A57">
        <v>56</v>
      </c>
      <c r="B57" t="s">
        <v>123</v>
      </c>
      <c r="C57" t="s">
        <v>87</v>
      </c>
      <c r="D57" t="s">
        <v>85</v>
      </c>
      <c r="E57">
        <v>90</v>
      </c>
      <c r="F57">
        <v>110</v>
      </c>
      <c r="G57">
        <v>130</v>
      </c>
      <c r="H57">
        <v>60</v>
      </c>
      <c r="I57">
        <v>100</v>
      </c>
      <c r="J57">
        <v>60</v>
      </c>
      <c r="K57">
        <v>550</v>
      </c>
      <c r="L57" t="s">
        <v>295</v>
      </c>
      <c r="M57" t="s">
        <v>296</v>
      </c>
      <c r="N57" t="s">
        <v>297</v>
      </c>
      <c r="O57" t="s">
        <v>298</v>
      </c>
      <c r="P57" t="s">
        <v>299</v>
      </c>
      <c r="Q57" t="s">
        <v>300</v>
      </c>
      <c r="R57" t="s">
        <v>198</v>
      </c>
      <c r="V57">
        <v>291.58060209425651</v>
      </c>
      <c r="X57" t="s">
        <v>301</v>
      </c>
    </row>
    <row r="58" spans="1:24" x14ac:dyDescent="0.3">
      <c r="A58">
        <v>57</v>
      </c>
      <c r="B58" t="s">
        <v>122</v>
      </c>
      <c r="C58" t="s">
        <v>61</v>
      </c>
      <c r="D58" t="s">
        <v>73</v>
      </c>
      <c r="E58">
        <v>95</v>
      </c>
      <c r="F58">
        <v>95</v>
      </c>
      <c r="G58">
        <v>80</v>
      </c>
      <c r="H58">
        <v>130</v>
      </c>
      <c r="I58">
        <v>80</v>
      </c>
      <c r="J58">
        <v>120</v>
      </c>
      <c r="K58">
        <v>600</v>
      </c>
      <c r="L58" t="s">
        <v>651</v>
      </c>
      <c r="M58" t="s">
        <v>652</v>
      </c>
      <c r="O58" t="s">
        <v>653</v>
      </c>
      <c r="P58" t="s">
        <v>654</v>
      </c>
      <c r="Q58" t="s">
        <v>655</v>
      </c>
      <c r="R58" t="s">
        <v>218</v>
      </c>
      <c r="V58">
        <v>351.81567088002356</v>
      </c>
      <c r="W58" t="s">
        <v>656</v>
      </c>
      <c r="X58" t="s">
        <v>657</v>
      </c>
    </row>
    <row r="59" spans="1:24" x14ac:dyDescent="0.3">
      <c r="A59">
        <v>58</v>
      </c>
      <c r="B59" t="s">
        <v>121</v>
      </c>
      <c r="C59" t="s">
        <v>106</v>
      </c>
      <c r="D59" t="s">
        <v>77</v>
      </c>
      <c r="E59">
        <v>95</v>
      </c>
      <c r="F59">
        <v>130</v>
      </c>
      <c r="G59">
        <v>80</v>
      </c>
      <c r="H59">
        <v>95</v>
      </c>
      <c r="I59">
        <v>80</v>
      </c>
      <c r="J59">
        <v>120</v>
      </c>
      <c r="K59">
        <v>600</v>
      </c>
      <c r="L59" t="s">
        <v>637</v>
      </c>
      <c r="M59" t="s">
        <v>638</v>
      </c>
      <c r="O59" t="s">
        <v>639</v>
      </c>
      <c r="P59" t="s">
        <v>640</v>
      </c>
      <c r="Q59" t="s">
        <v>641</v>
      </c>
      <c r="R59" t="s">
        <v>218</v>
      </c>
      <c r="V59">
        <v>353.36593421353041</v>
      </c>
      <c r="W59" t="s">
        <v>642</v>
      </c>
      <c r="X59" t="s">
        <v>643</v>
      </c>
    </row>
    <row r="60" spans="1:24" x14ac:dyDescent="0.3">
      <c r="A60">
        <v>59</v>
      </c>
      <c r="B60" t="s">
        <v>120</v>
      </c>
      <c r="C60" t="s">
        <v>82</v>
      </c>
      <c r="D60" t="s">
        <v>69</v>
      </c>
      <c r="E60">
        <v>105</v>
      </c>
      <c r="F60">
        <v>90</v>
      </c>
      <c r="G60">
        <v>120</v>
      </c>
      <c r="H60">
        <v>110</v>
      </c>
      <c r="I60">
        <v>100</v>
      </c>
      <c r="J60">
        <v>75</v>
      </c>
      <c r="K60">
        <v>600</v>
      </c>
      <c r="L60" t="s">
        <v>696</v>
      </c>
      <c r="M60" t="s">
        <v>697</v>
      </c>
      <c r="O60" t="s">
        <v>698</v>
      </c>
      <c r="P60" t="s">
        <v>355</v>
      </c>
      <c r="Q60" t="s">
        <v>699</v>
      </c>
      <c r="R60" t="s">
        <v>218</v>
      </c>
      <c r="V60">
        <v>340.62347698610301</v>
      </c>
      <c r="W60" t="s">
        <v>700</v>
      </c>
      <c r="X60" t="s">
        <v>701</v>
      </c>
    </row>
    <row r="61" spans="1:24" x14ac:dyDescent="0.3">
      <c r="A61">
        <v>60</v>
      </c>
      <c r="B61" t="s">
        <v>119</v>
      </c>
      <c r="C61" t="s">
        <v>74</v>
      </c>
      <c r="D61" t="s">
        <v>70</v>
      </c>
      <c r="E61">
        <v>85</v>
      </c>
      <c r="F61">
        <v>70</v>
      </c>
      <c r="G61">
        <v>75</v>
      </c>
      <c r="H61">
        <v>130</v>
      </c>
      <c r="I61">
        <v>110</v>
      </c>
      <c r="J61">
        <v>130</v>
      </c>
      <c r="K61">
        <v>600</v>
      </c>
      <c r="L61" t="s">
        <v>690</v>
      </c>
      <c r="M61" t="s">
        <v>691</v>
      </c>
      <c r="O61" t="s">
        <v>692</v>
      </c>
      <c r="P61" t="s">
        <v>238</v>
      </c>
      <c r="Q61" t="s">
        <v>693</v>
      </c>
      <c r="R61" t="s">
        <v>218</v>
      </c>
      <c r="V61">
        <v>340.90443798672686</v>
      </c>
      <c r="W61" t="s">
        <v>694</v>
      </c>
      <c r="X61" t="s">
        <v>695</v>
      </c>
    </row>
    <row r="62" spans="1:24" x14ac:dyDescent="0.3">
      <c r="A62">
        <v>61</v>
      </c>
      <c r="B62" t="s">
        <v>118</v>
      </c>
      <c r="C62" t="s">
        <v>60</v>
      </c>
      <c r="D62" t="s">
        <v>64</v>
      </c>
      <c r="E62">
        <v>100</v>
      </c>
      <c r="F62">
        <v>120</v>
      </c>
      <c r="G62">
        <v>90</v>
      </c>
      <c r="H62">
        <v>120</v>
      </c>
      <c r="I62">
        <v>90</v>
      </c>
      <c r="J62">
        <v>80</v>
      </c>
      <c r="K62">
        <v>600</v>
      </c>
      <c r="L62" t="s">
        <v>213</v>
      </c>
      <c r="M62" t="s">
        <v>214</v>
      </c>
      <c r="O62" t="s">
        <v>215</v>
      </c>
      <c r="P62" t="s">
        <v>216</v>
      </c>
      <c r="Q62" t="s">
        <v>217</v>
      </c>
      <c r="R62" t="s">
        <v>218</v>
      </c>
      <c r="V62">
        <v>329.49755272670609</v>
      </c>
      <c r="X62" t="s">
        <v>219</v>
      </c>
    </row>
    <row r="63" spans="1:24" x14ac:dyDescent="0.3">
      <c r="A63">
        <v>62</v>
      </c>
      <c r="B63" t="s">
        <v>117</v>
      </c>
      <c r="C63" t="s">
        <v>70</v>
      </c>
      <c r="D63" t="s">
        <v>69</v>
      </c>
      <c r="E63">
        <v>90</v>
      </c>
      <c r="F63">
        <v>115</v>
      </c>
      <c r="G63">
        <v>80</v>
      </c>
      <c r="H63">
        <v>130</v>
      </c>
      <c r="I63">
        <v>80</v>
      </c>
      <c r="J63">
        <v>105</v>
      </c>
      <c r="K63">
        <v>600</v>
      </c>
      <c r="L63" t="s">
        <v>644</v>
      </c>
      <c r="M63" t="s">
        <v>645</v>
      </c>
      <c r="O63" t="s">
        <v>646</v>
      </c>
      <c r="P63" t="s">
        <v>647</v>
      </c>
      <c r="Q63" t="s">
        <v>648</v>
      </c>
      <c r="R63" t="s">
        <v>218</v>
      </c>
      <c r="V63">
        <v>352.75739437674412</v>
      </c>
      <c r="W63" t="s">
        <v>649</v>
      </c>
      <c r="X63" t="s">
        <v>650</v>
      </c>
    </row>
    <row r="64" spans="1:24" x14ac:dyDescent="0.3">
      <c r="A64">
        <v>63</v>
      </c>
      <c r="B64" t="s">
        <v>116</v>
      </c>
      <c r="C64" t="s">
        <v>61</v>
      </c>
      <c r="D64" t="s">
        <v>87</v>
      </c>
      <c r="E64">
        <v>100</v>
      </c>
      <c r="F64">
        <v>110</v>
      </c>
      <c r="G64">
        <v>140</v>
      </c>
      <c r="H64">
        <v>80</v>
      </c>
      <c r="I64">
        <v>140</v>
      </c>
      <c r="J64">
        <v>30</v>
      </c>
      <c r="K64">
        <v>600</v>
      </c>
      <c r="L64" t="s">
        <v>715</v>
      </c>
      <c r="M64" t="s">
        <v>716</v>
      </c>
      <c r="O64" t="s">
        <v>717</v>
      </c>
      <c r="P64" t="s">
        <v>718</v>
      </c>
      <c r="Q64" t="s">
        <v>719</v>
      </c>
      <c r="R64" t="s">
        <v>218</v>
      </c>
      <c r="V64">
        <v>337.88975737695677</v>
      </c>
      <c r="W64" t="s">
        <v>720</v>
      </c>
      <c r="X64" t="s">
        <v>721</v>
      </c>
    </row>
    <row r="65" spans="1:24" x14ac:dyDescent="0.3">
      <c r="A65">
        <v>64</v>
      </c>
      <c r="B65" t="s">
        <v>115</v>
      </c>
      <c r="C65" t="s">
        <v>73</v>
      </c>
      <c r="D65" t="s">
        <v>65</v>
      </c>
      <c r="E65">
        <v>110</v>
      </c>
      <c r="F65">
        <v>130</v>
      </c>
      <c r="G65">
        <v>90</v>
      </c>
      <c r="H65">
        <v>105</v>
      </c>
      <c r="I65">
        <v>100</v>
      </c>
      <c r="J65">
        <v>65</v>
      </c>
      <c r="K65">
        <v>600</v>
      </c>
      <c r="L65" t="s">
        <v>722</v>
      </c>
      <c r="M65" t="s">
        <v>723</v>
      </c>
      <c r="O65" t="s">
        <v>724</v>
      </c>
      <c r="P65" t="s">
        <v>725</v>
      </c>
      <c r="Q65" t="s">
        <v>726</v>
      </c>
      <c r="R65" t="s">
        <v>218</v>
      </c>
      <c r="V65">
        <v>323.01511172885557</v>
      </c>
      <c r="W65" t="s">
        <v>727</v>
      </c>
      <c r="X65" t="s">
        <v>728</v>
      </c>
    </row>
    <row r="66" spans="1:24" x14ac:dyDescent="0.3">
      <c r="A66">
        <v>65</v>
      </c>
      <c r="B66" t="s">
        <v>114</v>
      </c>
      <c r="C66" t="s">
        <v>77</v>
      </c>
      <c r="D66" t="s">
        <v>61</v>
      </c>
      <c r="E66">
        <v>100</v>
      </c>
      <c r="F66">
        <v>100</v>
      </c>
      <c r="G66">
        <v>100</v>
      </c>
      <c r="H66">
        <v>100</v>
      </c>
      <c r="I66">
        <v>100</v>
      </c>
      <c r="J66">
        <v>100</v>
      </c>
      <c r="K66">
        <v>600</v>
      </c>
      <c r="L66" t="s">
        <v>658</v>
      </c>
      <c r="M66" t="s">
        <v>659</v>
      </c>
      <c r="O66" t="s">
        <v>660</v>
      </c>
      <c r="P66" t="s">
        <v>661</v>
      </c>
      <c r="Q66" t="s">
        <v>662</v>
      </c>
      <c r="R66" t="s">
        <v>663</v>
      </c>
      <c r="V66">
        <v>351.02317502261496</v>
      </c>
      <c r="W66" t="s">
        <v>664</v>
      </c>
      <c r="X66" t="s">
        <v>665</v>
      </c>
    </row>
    <row r="67" spans="1:24" x14ac:dyDescent="0.3">
      <c r="A67">
        <v>66</v>
      </c>
      <c r="B67" t="s">
        <v>113</v>
      </c>
      <c r="C67" t="s">
        <v>85</v>
      </c>
      <c r="D67" t="s">
        <v>77</v>
      </c>
      <c r="E67">
        <v>100</v>
      </c>
      <c r="F67">
        <v>100</v>
      </c>
      <c r="G67">
        <v>100</v>
      </c>
      <c r="H67">
        <v>100</v>
      </c>
      <c r="I67">
        <v>100</v>
      </c>
      <c r="J67">
        <v>100</v>
      </c>
      <c r="K67">
        <v>600</v>
      </c>
      <c r="L67" t="s">
        <v>666</v>
      </c>
      <c r="M67" t="s">
        <v>667</v>
      </c>
      <c r="O67" t="s">
        <v>668</v>
      </c>
      <c r="P67" t="s">
        <v>669</v>
      </c>
      <c r="Q67" t="s">
        <v>670</v>
      </c>
      <c r="R67" t="s">
        <v>663</v>
      </c>
      <c r="V67">
        <v>351.02317502261496</v>
      </c>
      <c r="W67" t="s">
        <v>671</v>
      </c>
      <c r="X67" t="s">
        <v>672</v>
      </c>
    </row>
    <row r="68" spans="1:24" x14ac:dyDescent="0.3">
      <c r="A68">
        <v>67</v>
      </c>
      <c r="B68" t="s">
        <v>112</v>
      </c>
      <c r="C68" t="s">
        <v>77</v>
      </c>
      <c r="E68">
        <v>45</v>
      </c>
      <c r="F68">
        <v>50</v>
      </c>
      <c r="G68">
        <v>40</v>
      </c>
      <c r="H68">
        <v>60</v>
      </c>
      <c r="I68">
        <v>55</v>
      </c>
      <c r="J68">
        <v>40</v>
      </c>
      <c r="K68">
        <v>290</v>
      </c>
      <c r="L68" t="s">
        <v>253</v>
      </c>
      <c r="M68" t="s">
        <v>254</v>
      </c>
      <c r="O68" t="s">
        <v>601</v>
      </c>
      <c r="P68" t="s">
        <v>511</v>
      </c>
      <c r="Q68" t="s">
        <v>512</v>
      </c>
      <c r="R68" t="s">
        <v>111</v>
      </c>
      <c r="S68">
        <v>20</v>
      </c>
      <c r="V68">
        <v>81.883717391287135</v>
      </c>
      <c r="X68" t="s">
        <v>602</v>
      </c>
    </row>
    <row r="69" spans="1:24" x14ac:dyDescent="0.3">
      <c r="A69">
        <v>68</v>
      </c>
      <c r="B69" t="s">
        <v>111</v>
      </c>
      <c r="C69" t="s">
        <v>77</v>
      </c>
      <c r="E69">
        <v>70</v>
      </c>
      <c r="F69">
        <v>75</v>
      </c>
      <c r="G69">
        <v>60</v>
      </c>
      <c r="H69">
        <v>95</v>
      </c>
      <c r="I69">
        <v>85</v>
      </c>
      <c r="J69">
        <v>65</v>
      </c>
      <c r="K69">
        <v>450</v>
      </c>
      <c r="L69" t="s">
        <v>253</v>
      </c>
      <c r="M69" t="s">
        <v>254</v>
      </c>
      <c r="O69" t="s">
        <v>510</v>
      </c>
      <c r="P69" t="s">
        <v>511</v>
      </c>
      <c r="Q69" t="s">
        <v>512</v>
      </c>
      <c r="R69" t="s">
        <v>110</v>
      </c>
      <c r="S69">
        <v>40</v>
      </c>
      <c r="V69">
        <v>192.618294661005</v>
      </c>
      <c r="X69" t="s">
        <v>513</v>
      </c>
    </row>
    <row r="70" spans="1:24" x14ac:dyDescent="0.3">
      <c r="A70">
        <v>69</v>
      </c>
      <c r="B70" t="s">
        <v>110</v>
      </c>
      <c r="C70" t="s">
        <v>77</v>
      </c>
      <c r="D70" t="s">
        <v>61</v>
      </c>
      <c r="E70">
        <v>95</v>
      </c>
      <c r="F70">
        <v>95</v>
      </c>
      <c r="G70">
        <v>80</v>
      </c>
      <c r="H70">
        <v>120</v>
      </c>
      <c r="I70">
        <v>100</v>
      </c>
      <c r="J70">
        <v>90</v>
      </c>
      <c r="K70">
        <v>580</v>
      </c>
      <c r="L70" t="s">
        <v>253</v>
      </c>
      <c r="M70" t="s">
        <v>254</v>
      </c>
      <c r="O70" t="s">
        <v>255</v>
      </c>
      <c r="P70" t="s">
        <v>256</v>
      </c>
      <c r="Q70" t="s">
        <v>257</v>
      </c>
      <c r="R70" t="s">
        <v>198</v>
      </c>
      <c r="V70">
        <v>320.02620774872247</v>
      </c>
      <c r="X70" t="s">
        <v>258</v>
      </c>
    </row>
    <row r="71" spans="1:24" x14ac:dyDescent="0.3">
      <c r="A71">
        <v>70</v>
      </c>
      <c r="B71" t="s">
        <v>109</v>
      </c>
      <c r="C71" t="s">
        <v>91</v>
      </c>
      <c r="E71">
        <v>80</v>
      </c>
      <c r="F71">
        <v>110</v>
      </c>
      <c r="G71">
        <v>75</v>
      </c>
      <c r="H71">
        <v>60</v>
      </c>
      <c r="I71">
        <v>80</v>
      </c>
      <c r="J71">
        <v>95</v>
      </c>
      <c r="K71">
        <v>500</v>
      </c>
      <c r="L71" t="s">
        <v>408</v>
      </c>
      <c r="M71" t="s">
        <v>409</v>
      </c>
      <c r="N71" t="s">
        <v>410</v>
      </c>
      <c r="O71" t="s">
        <v>411</v>
      </c>
      <c r="P71" t="s">
        <v>412</v>
      </c>
      <c r="Q71" t="s">
        <v>413</v>
      </c>
      <c r="R71" t="s">
        <v>326</v>
      </c>
      <c r="V71">
        <v>247.95937558168879</v>
      </c>
      <c r="X71" t="s">
        <v>414</v>
      </c>
    </row>
    <row r="72" spans="1:24" x14ac:dyDescent="0.3">
      <c r="A72">
        <v>71</v>
      </c>
      <c r="B72" t="s">
        <v>108</v>
      </c>
      <c r="C72" t="s">
        <v>52</v>
      </c>
      <c r="D72" t="s">
        <v>55</v>
      </c>
      <c r="E72">
        <v>70</v>
      </c>
      <c r="F72">
        <v>95</v>
      </c>
      <c r="G72">
        <v>110</v>
      </c>
      <c r="H72">
        <v>40</v>
      </c>
      <c r="I72">
        <v>85</v>
      </c>
      <c r="J72">
        <v>100</v>
      </c>
      <c r="K72">
        <v>500</v>
      </c>
      <c r="L72" t="s">
        <v>426</v>
      </c>
      <c r="M72" t="s">
        <v>427</v>
      </c>
      <c r="N72" t="s">
        <v>428</v>
      </c>
      <c r="O72" t="s">
        <v>429</v>
      </c>
      <c r="P72" t="s">
        <v>430</v>
      </c>
      <c r="Q72" t="s">
        <v>431</v>
      </c>
      <c r="R72" t="s">
        <v>326</v>
      </c>
      <c r="V72">
        <v>245.99030020806265</v>
      </c>
      <c r="X72" t="s">
        <v>432</v>
      </c>
    </row>
    <row r="73" spans="1:24" x14ac:dyDescent="0.3">
      <c r="A73">
        <v>72</v>
      </c>
      <c r="B73" t="s">
        <v>107</v>
      </c>
      <c r="C73" t="s">
        <v>64</v>
      </c>
      <c r="D73" t="s">
        <v>73</v>
      </c>
      <c r="E73">
        <v>90</v>
      </c>
      <c r="F73">
        <v>100</v>
      </c>
      <c r="G73">
        <v>80</v>
      </c>
      <c r="H73">
        <v>120</v>
      </c>
      <c r="I73">
        <v>80</v>
      </c>
      <c r="J73">
        <v>80</v>
      </c>
      <c r="K73">
        <v>550</v>
      </c>
      <c r="L73" t="s">
        <v>272</v>
      </c>
      <c r="M73" t="s">
        <v>328</v>
      </c>
      <c r="N73" t="s">
        <v>241</v>
      </c>
      <c r="O73" t="s">
        <v>329</v>
      </c>
      <c r="P73" t="s">
        <v>330</v>
      </c>
      <c r="Q73" t="s">
        <v>331</v>
      </c>
      <c r="R73" t="s">
        <v>326</v>
      </c>
      <c r="V73">
        <v>281.87743239438566</v>
      </c>
      <c r="X73" t="s">
        <v>332</v>
      </c>
    </row>
    <row r="74" spans="1:24" x14ac:dyDescent="0.3">
      <c r="A74">
        <v>73</v>
      </c>
      <c r="B74" t="s">
        <v>105</v>
      </c>
      <c r="C74" t="s">
        <v>106</v>
      </c>
      <c r="D74" t="s">
        <v>74</v>
      </c>
      <c r="E74">
        <v>65</v>
      </c>
      <c r="F74">
        <v>90</v>
      </c>
      <c r="G74">
        <v>50</v>
      </c>
      <c r="H74">
        <v>110</v>
      </c>
      <c r="I74">
        <v>60</v>
      </c>
      <c r="J74">
        <v>125</v>
      </c>
      <c r="K74">
        <v>500</v>
      </c>
      <c r="L74" t="s">
        <v>415</v>
      </c>
      <c r="M74" t="s">
        <v>416</v>
      </c>
      <c r="N74" t="s">
        <v>417</v>
      </c>
      <c r="O74" t="s">
        <v>418</v>
      </c>
      <c r="P74" t="s">
        <v>419</v>
      </c>
      <c r="Q74" t="s">
        <v>420</v>
      </c>
      <c r="R74" t="s">
        <v>326</v>
      </c>
      <c r="V74">
        <v>247.16082874361564</v>
      </c>
      <c r="X74" t="s">
        <v>421</v>
      </c>
    </row>
    <row r="75" spans="1:24" x14ac:dyDescent="0.3">
      <c r="A75">
        <v>74</v>
      </c>
      <c r="B75" t="s">
        <v>104</v>
      </c>
      <c r="C75" t="s">
        <v>55</v>
      </c>
      <c r="D75" t="s">
        <v>53</v>
      </c>
      <c r="E75">
        <v>85</v>
      </c>
      <c r="F75">
        <v>120</v>
      </c>
      <c r="G75">
        <v>90</v>
      </c>
      <c r="H75">
        <v>70</v>
      </c>
      <c r="I75">
        <v>85</v>
      </c>
      <c r="J75">
        <v>70</v>
      </c>
      <c r="K75">
        <v>520</v>
      </c>
      <c r="L75" t="s">
        <v>401</v>
      </c>
      <c r="M75" t="s">
        <v>402</v>
      </c>
      <c r="N75" t="s">
        <v>403</v>
      </c>
      <c r="O75" t="s">
        <v>404</v>
      </c>
      <c r="P75" t="s">
        <v>405</v>
      </c>
      <c r="Q75" t="s">
        <v>406</v>
      </c>
      <c r="R75" t="s">
        <v>326</v>
      </c>
      <c r="V75">
        <v>257.2671644159243</v>
      </c>
      <c r="X75" t="s">
        <v>407</v>
      </c>
    </row>
    <row r="76" spans="1:24" x14ac:dyDescent="0.3">
      <c r="A76">
        <v>75</v>
      </c>
      <c r="B76" t="s">
        <v>103</v>
      </c>
      <c r="C76" t="s">
        <v>98</v>
      </c>
      <c r="D76" t="s">
        <v>61</v>
      </c>
      <c r="E76">
        <v>60</v>
      </c>
      <c r="F76">
        <v>60</v>
      </c>
      <c r="G76">
        <v>60</v>
      </c>
      <c r="H76">
        <v>60</v>
      </c>
      <c r="I76">
        <v>60</v>
      </c>
      <c r="J76">
        <v>60</v>
      </c>
      <c r="K76">
        <v>360</v>
      </c>
      <c r="L76" t="s">
        <v>555</v>
      </c>
      <c r="M76" t="s">
        <v>556</v>
      </c>
      <c r="N76" t="s">
        <v>557</v>
      </c>
      <c r="O76" t="s">
        <v>558</v>
      </c>
      <c r="P76" t="s">
        <v>559</v>
      </c>
      <c r="Q76" t="s">
        <v>560</v>
      </c>
      <c r="R76" t="s">
        <v>326</v>
      </c>
      <c r="V76">
        <v>130.17714201445443</v>
      </c>
      <c r="X76" t="s">
        <v>561</v>
      </c>
    </row>
    <row r="77" spans="1:24" x14ac:dyDescent="0.3">
      <c r="A77">
        <v>76</v>
      </c>
      <c r="B77" t="s">
        <v>102</v>
      </c>
      <c r="C77" t="s">
        <v>52</v>
      </c>
      <c r="E77">
        <v>75</v>
      </c>
      <c r="F77">
        <v>100</v>
      </c>
      <c r="G77">
        <v>65</v>
      </c>
      <c r="H77">
        <v>100</v>
      </c>
      <c r="I77">
        <v>65</v>
      </c>
      <c r="J77">
        <v>95</v>
      </c>
      <c r="K77">
        <v>500</v>
      </c>
      <c r="L77" t="s">
        <v>433</v>
      </c>
      <c r="M77" t="s">
        <v>434</v>
      </c>
      <c r="N77" t="s">
        <v>428</v>
      </c>
      <c r="O77" t="s">
        <v>435</v>
      </c>
      <c r="P77" t="s">
        <v>436</v>
      </c>
      <c r="Q77" t="s">
        <v>437</v>
      </c>
      <c r="R77" t="s">
        <v>326</v>
      </c>
      <c r="V77">
        <v>244.79227829003474</v>
      </c>
      <c r="X77" t="s">
        <v>438</v>
      </c>
    </row>
    <row r="78" spans="1:24" x14ac:dyDescent="0.3">
      <c r="A78">
        <v>77</v>
      </c>
      <c r="B78" t="s">
        <v>100</v>
      </c>
      <c r="C78" t="s">
        <v>64</v>
      </c>
      <c r="D78" t="s">
        <v>98</v>
      </c>
      <c r="E78">
        <v>50</v>
      </c>
      <c r="F78">
        <v>65</v>
      </c>
      <c r="G78">
        <v>40</v>
      </c>
      <c r="H78">
        <v>50</v>
      </c>
      <c r="I78">
        <v>40</v>
      </c>
      <c r="J78">
        <v>60</v>
      </c>
      <c r="K78">
        <v>305</v>
      </c>
      <c r="L78" t="s">
        <v>220</v>
      </c>
      <c r="M78" t="s">
        <v>221</v>
      </c>
      <c r="N78" t="s">
        <v>222</v>
      </c>
      <c r="O78" t="s">
        <v>594</v>
      </c>
      <c r="P78" t="s">
        <v>224</v>
      </c>
      <c r="Q78" t="s">
        <v>225</v>
      </c>
      <c r="R78" t="s">
        <v>99</v>
      </c>
      <c r="S78">
        <v>16</v>
      </c>
      <c r="V78">
        <v>89.152725854445507</v>
      </c>
      <c r="X78" t="s">
        <v>595</v>
      </c>
    </row>
    <row r="79" spans="1:24" x14ac:dyDescent="0.3">
      <c r="A79">
        <v>78</v>
      </c>
      <c r="B79" t="s">
        <v>99</v>
      </c>
      <c r="C79" t="s">
        <v>64</v>
      </c>
      <c r="D79" t="s">
        <v>98</v>
      </c>
      <c r="E79">
        <v>75</v>
      </c>
      <c r="F79">
        <v>100</v>
      </c>
      <c r="G79">
        <v>60</v>
      </c>
      <c r="H79">
        <v>70</v>
      </c>
      <c r="I79">
        <v>60</v>
      </c>
      <c r="J79">
        <v>80</v>
      </c>
      <c r="K79">
        <v>445</v>
      </c>
      <c r="L79" t="s">
        <v>220</v>
      </c>
      <c r="M79" t="s">
        <v>221</v>
      </c>
      <c r="N79" t="s">
        <v>222</v>
      </c>
      <c r="O79" t="s">
        <v>508</v>
      </c>
      <c r="P79" t="s">
        <v>224</v>
      </c>
      <c r="Q79" t="s">
        <v>225</v>
      </c>
      <c r="R79" t="s">
        <v>97</v>
      </c>
      <c r="S79">
        <v>36</v>
      </c>
      <c r="V79">
        <v>193.11717686875602</v>
      </c>
      <c r="X79" t="s">
        <v>509</v>
      </c>
    </row>
    <row r="80" spans="1:24" x14ac:dyDescent="0.3">
      <c r="A80">
        <v>79</v>
      </c>
      <c r="B80" t="s">
        <v>97</v>
      </c>
      <c r="C80" t="s">
        <v>64</v>
      </c>
      <c r="D80" t="s">
        <v>98</v>
      </c>
      <c r="E80">
        <v>95</v>
      </c>
      <c r="F80">
        <v>130</v>
      </c>
      <c r="G80">
        <v>80</v>
      </c>
      <c r="H80">
        <v>90</v>
      </c>
      <c r="I80">
        <v>80</v>
      </c>
      <c r="J80">
        <v>100</v>
      </c>
      <c r="K80">
        <v>575</v>
      </c>
      <c r="L80" t="s">
        <v>220</v>
      </c>
      <c r="M80" t="s">
        <v>221</v>
      </c>
      <c r="N80" t="s">
        <v>222</v>
      </c>
      <c r="O80" t="s">
        <v>223</v>
      </c>
      <c r="P80" t="s">
        <v>224</v>
      </c>
      <c r="Q80" t="s">
        <v>225</v>
      </c>
      <c r="R80" t="s">
        <v>198</v>
      </c>
      <c r="V80">
        <v>326.3154237438107</v>
      </c>
      <c r="X80" t="s">
        <v>226</v>
      </c>
    </row>
    <row r="81" spans="1:24" x14ac:dyDescent="0.3">
      <c r="A81">
        <v>80</v>
      </c>
      <c r="B81" t="s">
        <v>96</v>
      </c>
      <c r="C81" t="s">
        <v>53</v>
      </c>
      <c r="D81" t="s">
        <v>65</v>
      </c>
      <c r="E81">
        <v>70</v>
      </c>
      <c r="F81">
        <v>50</v>
      </c>
      <c r="G81">
        <v>70</v>
      </c>
      <c r="H81">
        <v>95</v>
      </c>
      <c r="I81">
        <v>80</v>
      </c>
      <c r="J81">
        <v>40</v>
      </c>
      <c r="K81">
        <v>405</v>
      </c>
      <c r="L81" t="s">
        <v>389</v>
      </c>
      <c r="M81" t="s">
        <v>390</v>
      </c>
      <c r="N81" t="s">
        <v>391</v>
      </c>
      <c r="O81" t="s">
        <v>539</v>
      </c>
      <c r="P81" t="s">
        <v>393</v>
      </c>
      <c r="Q81" t="s">
        <v>394</v>
      </c>
      <c r="R81" t="s">
        <v>95</v>
      </c>
      <c r="S81">
        <v>32</v>
      </c>
      <c r="V81">
        <v>160.90086971386137</v>
      </c>
      <c r="X81" t="s">
        <v>540</v>
      </c>
    </row>
    <row r="82" spans="1:24" x14ac:dyDescent="0.3">
      <c r="A82">
        <v>81</v>
      </c>
      <c r="B82" t="s">
        <v>95</v>
      </c>
      <c r="C82" t="s">
        <v>53</v>
      </c>
      <c r="D82" t="s">
        <v>65</v>
      </c>
      <c r="E82">
        <v>90</v>
      </c>
      <c r="F82">
        <v>70</v>
      </c>
      <c r="G82">
        <v>100</v>
      </c>
      <c r="H82">
        <v>120</v>
      </c>
      <c r="I82">
        <v>100</v>
      </c>
      <c r="J82">
        <v>50</v>
      </c>
      <c r="K82">
        <v>530</v>
      </c>
      <c r="L82" t="s">
        <v>389</v>
      </c>
      <c r="M82" t="s">
        <v>390</v>
      </c>
      <c r="N82" t="s">
        <v>391</v>
      </c>
      <c r="O82" t="s">
        <v>392</v>
      </c>
      <c r="P82" t="s">
        <v>393</v>
      </c>
      <c r="Q82" t="s">
        <v>394</v>
      </c>
      <c r="R82" t="s">
        <v>198</v>
      </c>
      <c r="V82">
        <v>259.54114367530087</v>
      </c>
      <c r="X82" t="s">
        <v>395</v>
      </c>
    </row>
    <row r="83" spans="1:24" x14ac:dyDescent="0.3">
      <c r="A83">
        <v>82</v>
      </c>
      <c r="B83" t="s">
        <v>94</v>
      </c>
      <c r="C83" t="s">
        <v>85</v>
      </c>
      <c r="D83" t="s">
        <v>70</v>
      </c>
      <c r="E83">
        <v>65</v>
      </c>
      <c r="F83">
        <v>45</v>
      </c>
      <c r="G83">
        <v>50</v>
      </c>
      <c r="H83">
        <v>80</v>
      </c>
      <c r="I83">
        <v>60</v>
      </c>
      <c r="J83">
        <v>100</v>
      </c>
      <c r="K83">
        <v>400</v>
      </c>
      <c r="L83" t="s">
        <v>194</v>
      </c>
      <c r="M83" t="s">
        <v>348</v>
      </c>
      <c r="N83" t="s">
        <v>193</v>
      </c>
      <c r="O83" t="s">
        <v>541</v>
      </c>
      <c r="P83" t="s">
        <v>350</v>
      </c>
      <c r="Q83" t="s">
        <v>351</v>
      </c>
      <c r="R83" t="s">
        <v>93</v>
      </c>
      <c r="S83">
        <v>30</v>
      </c>
      <c r="V83">
        <v>157.99849629206369</v>
      </c>
      <c r="X83" t="s">
        <v>542</v>
      </c>
    </row>
    <row r="84" spans="1:24" x14ac:dyDescent="0.3">
      <c r="A84">
        <v>83</v>
      </c>
      <c r="B84" t="s">
        <v>93</v>
      </c>
      <c r="C84" t="s">
        <v>85</v>
      </c>
      <c r="D84" t="s">
        <v>70</v>
      </c>
      <c r="E84">
        <v>85</v>
      </c>
      <c r="F84">
        <v>65</v>
      </c>
      <c r="G84">
        <v>70</v>
      </c>
      <c r="H84">
        <v>110</v>
      </c>
      <c r="I84">
        <v>80</v>
      </c>
      <c r="J84">
        <v>130</v>
      </c>
      <c r="K84">
        <v>540</v>
      </c>
      <c r="L84" t="s">
        <v>194</v>
      </c>
      <c r="M84" t="s">
        <v>348</v>
      </c>
      <c r="N84" t="s">
        <v>193</v>
      </c>
      <c r="O84" t="s">
        <v>349</v>
      </c>
      <c r="P84" t="s">
        <v>350</v>
      </c>
      <c r="Q84" t="s">
        <v>351</v>
      </c>
      <c r="R84" t="s">
        <v>198</v>
      </c>
      <c r="V84">
        <v>277.19082658380103</v>
      </c>
      <c r="X84" t="s">
        <v>352</v>
      </c>
    </row>
    <row r="85" spans="1:24" x14ac:dyDescent="0.3">
      <c r="A85">
        <v>84</v>
      </c>
      <c r="B85" t="s">
        <v>92</v>
      </c>
      <c r="C85" t="s">
        <v>55</v>
      </c>
      <c r="D85" t="s">
        <v>91</v>
      </c>
      <c r="E85">
        <v>70</v>
      </c>
      <c r="F85">
        <v>95</v>
      </c>
      <c r="G85">
        <v>90</v>
      </c>
      <c r="H85">
        <v>40</v>
      </c>
      <c r="I85">
        <v>80</v>
      </c>
      <c r="J85">
        <v>70</v>
      </c>
      <c r="K85">
        <v>445</v>
      </c>
      <c r="L85" t="s">
        <v>410</v>
      </c>
      <c r="M85" t="s">
        <v>494</v>
      </c>
      <c r="N85" t="s">
        <v>408</v>
      </c>
      <c r="O85" t="s">
        <v>495</v>
      </c>
      <c r="P85" t="s">
        <v>496</v>
      </c>
      <c r="Q85" t="s">
        <v>497</v>
      </c>
      <c r="R85" t="s">
        <v>90</v>
      </c>
      <c r="S85">
        <v>35</v>
      </c>
      <c r="V85">
        <v>199.33877890892342</v>
      </c>
      <c r="X85" t="s">
        <v>498</v>
      </c>
    </row>
    <row r="86" spans="1:24" x14ac:dyDescent="0.3">
      <c r="A86">
        <v>85</v>
      </c>
      <c r="B86" t="s">
        <v>90</v>
      </c>
      <c r="C86" t="s">
        <v>55</v>
      </c>
      <c r="D86" t="s">
        <v>91</v>
      </c>
      <c r="E86">
        <v>95</v>
      </c>
      <c r="F86">
        <v>130</v>
      </c>
      <c r="G86">
        <v>120</v>
      </c>
      <c r="H86">
        <v>60</v>
      </c>
      <c r="I86">
        <v>100</v>
      </c>
      <c r="J86">
        <v>90</v>
      </c>
      <c r="K86">
        <v>595</v>
      </c>
      <c r="L86" t="s">
        <v>410</v>
      </c>
      <c r="M86" t="s">
        <v>494</v>
      </c>
      <c r="N86" t="s">
        <v>408</v>
      </c>
      <c r="O86" t="s">
        <v>684</v>
      </c>
      <c r="P86" t="s">
        <v>496</v>
      </c>
      <c r="Q86" t="s">
        <v>497</v>
      </c>
      <c r="R86" t="s">
        <v>198</v>
      </c>
      <c r="V86">
        <v>341.86261575466489</v>
      </c>
      <c r="W86" t="s">
        <v>685</v>
      </c>
      <c r="X86" t="s">
        <v>686</v>
      </c>
    </row>
    <row r="87" spans="1:24" x14ac:dyDescent="0.3">
      <c r="A87">
        <v>86</v>
      </c>
      <c r="B87" t="s">
        <v>89</v>
      </c>
      <c r="C87" t="s">
        <v>69</v>
      </c>
      <c r="D87" t="s">
        <v>70</v>
      </c>
      <c r="E87">
        <v>65</v>
      </c>
      <c r="F87">
        <v>70</v>
      </c>
      <c r="G87">
        <v>60</v>
      </c>
      <c r="H87">
        <v>105</v>
      </c>
      <c r="I87">
        <v>80</v>
      </c>
      <c r="J87">
        <v>110</v>
      </c>
      <c r="K87">
        <v>490</v>
      </c>
      <c r="L87" t="s">
        <v>247</v>
      </c>
      <c r="N87" t="s">
        <v>631</v>
      </c>
      <c r="O87" t="s">
        <v>729</v>
      </c>
      <c r="P87" t="s">
        <v>633</v>
      </c>
      <c r="Q87" t="s">
        <v>634</v>
      </c>
      <c r="R87" t="s">
        <v>88</v>
      </c>
      <c r="S87">
        <v>30</v>
      </c>
      <c r="T87">
        <v>213</v>
      </c>
      <c r="V87">
        <v>237.30512751426244</v>
      </c>
      <c r="W87" t="s">
        <v>730</v>
      </c>
      <c r="X87" t="s">
        <v>731</v>
      </c>
    </row>
    <row r="88" spans="1:24" x14ac:dyDescent="0.3">
      <c r="A88">
        <v>87</v>
      </c>
      <c r="B88" t="s">
        <v>88</v>
      </c>
      <c r="C88" t="s">
        <v>69</v>
      </c>
      <c r="D88" t="s">
        <v>70</v>
      </c>
      <c r="E88">
        <v>90</v>
      </c>
      <c r="F88">
        <v>95</v>
      </c>
      <c r="G88">
        <v>85</v>
      </c>
      <c r="H88">
        <v>130</v>
      </c>
      <c r="I88">
        <v>100</v>
      </c>
      <c r="J88">
        <v>130</v>
      </c>
      <c r="K88">
        <v>630</v>
      </c>
      <c r="L88" t="s">
        <v>247</v>
      </c>
      <c r="N88" t="s">
        <v>631</v>
      </c>
      <c r="O88" t="s">
        <v>632</v>
      </c>
      <c r="P88" t="s">
        <v>633</v>
      </c>
      <c r="Q88" t="s">
        <v>634</v>
      </c>
      <c r="R88" t="s">
        <v>198</v>
      </c>
      <c r="T88">
        <v>346</v>
      </c>
      <c r="V88">
        <v>375.54177401742339</v>
      </c>
      <c r="W88" t="s">
        <v>635</v>
      </c>
      <c r="X88" t="s">
        <v>636</v>
      </c>
    </row>
    <row r="89" spans="1:24" x14ac:dyDescent="0.3">
      <c r="A89">
        <v>88</v>
      </c>
      <c r="B89" t="s">
        <v>86</v>
      </c>
      <c r="C89" t="s">
        <v>74</v>
      </c>
      <c r="D89" t="s">
        <v>87</v>
      </c>
      <c r="E89">
        <v>60</v>
      </c>
      <c r="F89">
        <v>80</v>
      </c>
      <c r="G89">
        <v>110</v>
      </c>
      <c r="H89">
        <v>50</v>
      </c>
      <c r="I89">
        <v>105</v>
      </c>
      <c r="J89">
        <v>45</v>
      </c>
      <c r="K89">
        <v>450</v>
      </c>
      <c r="L89" t="s">
        <v>295</v>
      </c>
      <c r="N89" t="s">
        <v>343</v>
      </c>
      <c r="O89" t="s">
        <v>499</v>
      </c>
      <c r="P89" t="s">
        <v>500</v>
      </c>
      <c r="Q89" t="s">
        <v>501</v>
      </c>
      <c r="R89" t="s">
        <v>198</v>
      </c>
      <c r="T89">
        <v>229</v>
      </c>
      <c r="V89">
        <v>198.94347112922003</v>
      </c>
      <c r="X89" t="s">
        <v>502</v>
      </c>
    </row>
    <row r="90" spans="1:24" x14ac:dyDescent="0.3">
      <c r="A90">
        <v>89</v>
      </c>
      <c r="B90" t="s">
        <v>84</v>
      </c>
      <c r="C90" t="s">
        <v>85</v>
      </c>
      <c r="E90">
        <v>70</v>
      </c>
      <c r="F90">
        <v>60</v>
      </c>
      <c r="G90">
        <v>85</v>
      </c>
      <c r="H90">
        <v>100</v>
      </c>
      <c r="I90">
        <v>85</v>
      </c>
      <c r="J90">
        <v>90</v>
      </c>
      <c r="K90">
        <v>490</v>
      </c>
      <c r="L90" t="s">
        <v>193</v>
      </c>
      <c r="N90" t="s">
        <v>445</v>
      </c>
      <c r="O90" t="s">
        <v>446</v>
      </c>
      <c r="P90" t="s">
        <v>447</v>
      </c>
      <c r="Q90" t="s">
        <v>448</v>
      </c>
      <c r="R90" t="s">
        <v>198</v>
      </c>
      <c r="T90">
        <v>236</v>
      </c>
      <c r="V90">
        <v>232.94054067550059</v>
      </c>
      <c r="X90" t="s">
        <v>449</v>
      </c>
    </row>
    <row r="91" spans="1:24" x14ac:dyDescent="0.3">
      <c r="A91">
        <v>90</v>
      </c>
      <c r="B91" t="s">
        <v>83</v>
      </c>
      <c r="C91" t="s">
        <v>64</v>
      </c>
      <c r="E91">
        <v>58</v>
      </c>
      <c r="F91">
        <v>70</v>
      </c>
      <c r="G91">
        <v>55</v>
      </c>
      <c r="H91">
        <v>60</v>
      </c>
      <c r="I91">
        <v>50</v>
      </c>
      <c r="J91">
        <v>62</v>
      </c>
      <c r="K91">
        <v>355</v>
      </c>
      <c r="L91" t="s">
        <v>261</v>
      </c>
      <c r="N91" t="s">
        <v>222</v>
      </c>
      <c r="O91" t="s">
        <v>562</v>
      </c>
      <c r="P91" t="s">
        <v>563</v>
      </c>
      <c r="Q91" t="s">
        <v>564</v>
      </c>
      <c r="R91" t="s">
        <v>81</v>
      </c>
      <c r="S91">
        <v>30</v>
      </c>
      <c r="T91">
        <v>150</v>
      </c>
      <c r="V91">
        <v>122.3256308578443</v>
      </c>
      <c r="X91" t="s">
        <v>565</v>
      </c>
    </row>
    <row r="92" spans="1:24" x14ac:dyDescent="0.3">
      <c r="A92">
        <v>91</v>
      </c>
      <c r="B92" t="s">
        <v>81</v>
      </c>
      <c r="C92" t="s">
        <v>64</v>
      </c>
      <c r="D92" t="s">
        <v>82</v>
      </c>
      <c r="E92">
        <v>85</v>
      </c>
      <c r="F92">
        <v>105</v>
      </c>
      <c r="G92">
        <v>100</v>
      </c>
      <c r="H92">
        <v>75</v>
      </c>
      <c r="I92">
        <v>80</v>
      </c>
      <c r="J92">
        <v>90</v>
      </c>
      <c r="K92">
        <v>535</v>
      </c>
      <c r="L92" t="s">
        <v>261</v>
      </c>
      <c r="N92" t="s">
        <v>222</v>
      </c>
      <c r="O92" t="s">
        <v>338</v>
      </c>
      <c r="P92" t="s">
        <v>339</v>
      </c>
      <c r="Q92" t="s">
        <v>340</v>
      </c>
      <c r="R92" t="s">
        <v>198</v>
      </c>
      <c r="T92">
        <v>280</v>
      </c>
      <c r="V92">
        <v>277.94725517329465</v>
      </c>
      <c r="X92" t="s">
        <v>341</v>
      </c>
    </row>
    <row r="93" spans="1:24" x14ac:dyDescent="0.3">
      <c r="A93">
        <v>92</v>
      </c>
      <c r="B93" t="s">
        <v>80</v>
      </c>
      <c r="C93" t="s">
        <v>65</v>
      </c>
      <c r="D93" t="s">
        <v>70</v>
      </c>
      <c r="E93">
        <v>80</v>
      </c>
      <c r="F93">
        <v>70</v>
      </c>
      <c r="G93">
        <v>65</v>
      </c>
      <c r="H93">
        <v>105</v>
      </c>
      <c r="I93">
        <v>75</v>
      </c>
      <c r="J93">
        <v>90</v>
      </c>
      <c r="K93">
        <v>485</v>
      </c>
      <c r="L93" t="s">
        <v>396</v>
      </c>
      <c r="N93" t="s">
        <v>417</v>
      </c>
      <c r="O93" t="s">
        <v>457</v>
      </c>
      <c r="P93" t="s">
        <v>458</v>
      </c>
      <c r="Q93" t="s">
        <v>459</v>
      </c>
      <c r="R93" t="s">
        <v>198</v>
      </c>
      <c r="T93">
        <v>237</v>
      </c>
      <c r="V93">
        <v>230.37208394669051</v>
      </c>
      <c r="X93" t="s">
        <v>460</v>
      </c>
    </row>
    <row r="94" spans="1:24" x14ac:dyDescent="0.3">
      <c r="A94">
        <v>93</v>
      </c>
      <c r="B94" t="s">
        <v>79</v>
      </c>
      <c r="C94" t="s">
        <v>73</v>
      </c>
      <c r="D94" t="s">
        <v>64</v>
      </c>
      <c r="E94">
        <v>90</v>
      </c>
      <c r="F94">
        <v>115</v>
      </c>
      <c r="G94">
        <v>80</v>
      </c>
      <c r="H94">
        <v>95</v>
      </c>
      <c r="I94">
        <v>80</v>
      </c>
      <c r="J94">
        <v>100</v>
      </c>
      <c r="K94">
        <v>560</v>
      </c>
      <c r="L94" t="s">
        <v>272</v>
      </c>
      <c r="N94" t="s">
        <v>273</v>
      </c>
      <c r="O94" t="s">
        <v>274</v>
      </c>
      <c r="P94" t="s">
        <v>275</v>
      </c>
      <c r="Q94" t="s">
        <v>276</v>
      </c>
      <c r="R94" t="s">
        <v>198</v>
      </c>
      <c r="T94">
        <v>289</v>
      </c>
      <c r="V94">
        <v>308.84903468301434</v>
      </c>
      <c r="X94" t="s">
        <v>277</v>
      </c>
    </row>
    <row r="95" spans="1:24" x14ac:dyDescent="0.3">
      <c r="A95">
        <v>94</v>
      </c>
      <c r="B95" t="s">
        <v>78</v>
      </c>
      <c r="C95" t="s">
        <v>61</v>
      </c>
      <c r="E95">
        <v>60</v>
      </c>
      <c r="F95">
        <v>50</v>
      </c>
      <c r="G95">
        <v>70</v>
      </c>
      <c r="H95">
        <v>90</v>
      </c>
      <c r="I95">
        <v>80</v>
      </c>
      <c r="J95">
        <v>100</v>
      </c>
      <c r="K95">
        <v>450</v>
      </c>
      <c r="L95" t="s">
        <v>259</v>
      </c>
      <c r="N95" t="s">
        <v>503</v>
      </c>
      <c r="O95" t="s">
        <v>504</v>
      </c>
      <c r="P95" t="s">
        <v>505</v>
      </c>
      <c r="Q95" t="s">
        <v>506</v>
      </c>
      <c r="R95" t="s">
        <v>76</v>
      </c>
      <c r="S95">
        <v>35</v>
      </c>
      <c r="T95">
        <v>198</v>
      </c>
      <c r="V95">
        <v>198.56901775294421</v>
      </c>
      <c r="X95" t="s">
        <v>507</v>
      </c>
    </row>
    <row r="96" spans="1:24" x14ac:dyDescent="0.3">
      <c r="A96">
        <v>95</v>
      </c>
      <c r="B96" t="s">
        <v>76</v>
      </c>
      <c r="C96" t="s">
        <v>61</v>
      </c>
      <c r="D96" t="s">
        <v>77</v>
      </c>
      <c r="E96">
        <v>85</v>
      </c>
      <c r="F96">
        <v>65</v>
      </c>
      <c r="G96">
        <v>95</v>
      </c>
      <c r="H96">
        <v>130</v>
      </c>
      <c r="I96">
        <v>110</v>
      </c>
      <c r="J96">
        <v>115</v>
      </c>
      <c r="K96">
        <v>600</v>
      </c>
      <c r="L96" t="s">
        <v>259</v>
      </c>
      <c r="N96" t="s">
        <v>503</v>
      </c>
      <c r="O96" t="s">
        <v>673</v>
      </c>
      <c r="P96" t="s">
        <v>674</v>
      </c>
      <c r="Q96" t="s">
        <v>675</v>
      </c>
      <c r="R96" t="s">
        <v>198</v>
      </c>
      <c r="T96">
        <v>329</v>
      </c>
      <c r="V96">
        <v>347.75309424739424</v>
      </c>
      <c r="W96" t="s">
        <v>676</v>
      </c>
      <c r="X96" t="s">
        <v>677</v>
      </c>
    </row>
    <row r="97" spans="1:24" x14ac:dyDescent="0.3">
      <c r="A97">
        <v>96</v>
      </c>
      <c r="B97" t="s">
        <v>75</v>
      </c>
      <c r="C97" t="s">
        <v>73</v>
      </c>
      <c r="D97" t="s">
        <v>74</v>
      </c>
      <c r="E97">
        <v>50</v>
      </c>
      <c r="F97">
        <v>60</v>
      </c>
      <c r="G97">
        <v>50</v>
      </c>
      <c r="H97">
        <v>80</v>
      </c>
      <c r="I97">
        <v>50</v>
      </c>
      <c r="J97">
        <v>90</v>
      </c>
      <c r="K97">
        <v>380</v>
      </c>
      <c r="L97" t="s">
        <v>342</v>
      </c>
      <c r="N97" t="s">
        <v>343</v>
      </c>
      <c r="O97" t="s">
        <v>549</v>
      </c>
      <c r="P97" t="s">
        <v>345</v>
      </c>
      <c r="Q97" t="s">
        <v>346</v>
      </c>
      <c r="R97" t="s">
        <v>72</v>
      </c>
      <c r="S97">
        <v>25</v>
      </c>
      <c r="T97">
        <v>139</v>
      </c>
      <c r="V97">
        <v>140.88194014035531</v>
      </c>
      <c r="X97" t="s">
        <v>550</v>
      </c>
    </row>
    <row r="98" spans="1:24" x14ac:dyDescent="0.3">
      <c r="A98">
        <v>97</v>
      </c>
      <c r="B98" t="s">
        <v>72</v>
      </c>
      <c r="C98" t="s">
        <v>73</v>
      </c>
      <c r="D98" t="s">
        <v>74</v>
      </c>
      <c r="E98">
        <v>75</v>
      </c>
      <c r="F98">
        <v>85</v>
      </c>
      <c r="G98">
        <v>75</v>
      </c>
      <c r="H98">
        <v>110</v>
      </c>
      <c r="I98">
        <v>75</v>
      </c>
      <c r="J98">
        <v>110</v>
      </c>
      <c r="K98">
        <v>530</v>
      </c>
      <c r="L98" t="s">
        <v>342</v>
      </c>
      <c r="N98" t="s">
        <v>343</v>
      </c>
      <c r="O98" t="s">
        <v>344</v>
      </c>
      <c r="P98" t="s">
        <v>345</v>
      </c>
      <c r="Q98" t="s">
        <v>346</v>
      </c>
      <c r="R98" t="s">
        <v>198</v>
      </c>
      <c r="T98">
        <v>265</v>
      </c>
      <c r="V98">
        <v>277.43717957266176</v>
      </c>
      <c r="X98" t="s">
        <v>347</v>
      </c>
    </row>
    <row r="99" spans="1:24" x14ac:dyDescent="0.3">
      <c r="A99">
        <v>98</v>
      </c>
      <c r="B99" t="s">
        <v>71</v>
      </c>
      <c r="C99" t="s">
        <v>69</v>
      </c>
      <c r="D99" t="s">
        <v>70</v>
      </c>
      <c r="E99">
        <v>55</v>
      </c>
      <c r="F99">
        <v>65</v>
      </c>
      <c r="G99">
        <v>55</v>
      </c>
      <c r="H99">
        <v>70</v>
      </c>
      <c r="I99">
        <v>60</v>
      </c>
      <c r="J99">
        <v>100</v>
      </c>
      <c r="K99">
        <v>405</v>
      </c>
      <c r="L99" t="s">
        <v>247</v>
      </c>
      <c r="N99" t="s">
        <v>248</v>
      </c>
      <c r="O99" t="s">
        <v>537</v>
      </c>
      <c r="P99" t="s">
        <v>250</v>
      </c>
      <c r="Q99" t="s">
        <v>251</v>
      </c>
      <c r="R99" t="s">
        <v>68</v>
      </c>
      <c r="S99">
        <v>30</v>
      </c>
      <c r="T99">
        <v>166</v>
      </c>
      <c r="V99">
        <v>161.20740785592926</v>
      </c>
      <c r="X99" t="s">
        <v>538</v>
      </c>
    </row>
    <row r="100" spans="1:24" x14ac:dyDescent="0.3">
      <c r="A100">
        <v>99</v>
      </c>
      <c r="B100" t="s">
        <v>68</v>
      </c>
      <c r="C100" t="s">
        <v>69</v>
      </c>
      <c r="D100" t="s">
        <v>70</v>
      </c>
      <c r="E100">
        <v>85</v>
      </c>
      <c r="F100">
        <v>95</v>
      </c>
      <c r="G100">
        <v>80</v>
      </c>
      <c r="H100">
        <v>105</v>
      </c>
      <c r="I100">
        <v>90</v>
      </c>
      <c r="J100">
        <v>125</v>
      </c>
      <c r="K100">
        <v>580</v>
      </c>
      <c r="L100" t="s">
        <v>247</v>
      </c>
      <c r="N100" t="s">
        <v>248</v>
      </c>
      <c r="O100" t="s">
        <v>249</v>
      </c>
      <c r="P100" t="s">
        <v>250</v>
      </c>
      <c r="Q100" t="s">
        <v>251</v>
      </c>
      <c r="R100" t="s">
        <v>198</v>
      </c>
      <c r="T100">
        <v>310</v>
      </c>
      <c r="V100">
        <v>320.86258301358612</v>
      </c>
      <c r="X100" t="s">
        <v>252</v>
      </c>
    </row>
    <row r="101" spans="1:24" x14ac:dyDescent="0.3">
      <c r="A101">
        <v>100</v>
      </c>
      <c r="B101" t="s">
        <v>67</v>
      </c>
      <c r="C101" t="s">
        <v>64</v>
      </c>
      <c r="D101" t="s">
        <v>65</v>
      </c>
      <c r="E101">
        <v>70</v>
      </c>
      <c r="F101">
        <v>90</v>
      </c>
      <c r="G101">
        <v>75</v>
      </c>
      <c r="H101">
        <v>75</v>
      </c>
      <c r="I101">
        <v>65</v>
      </c>
      <c r="J101">
        <v>90</v>
      </c>
      <c r="K101">
        <v>465</v>
      </c>
      <c r="L101" t="s">
        <v>396</v>
      </c>
      <c r="N101" t="s">
        <v>479</v>
      </c>
      <c r="O101" t="s">
        <v>480</v>
      </c>
      <c r="P101" t="s">
        <v>481</v>
      </c>
      <c r="Q101" t="s">
        <v>482</v>
      </c>
      <c r="R101" t="s">
        <v>63</v>
      </c>
      <c r="S101">
        <v>40</v>
      </c>
      <c r="T101">
        <v>223</v>
      </c>
      <c r="V101">
        <v>211.64531659644098</v>
      </c>
      <c r="X101" t="s">
        <v>483</v>
      </c>
    </row>
    <row r="102" spans="1:24" x14ac:dyDescent="0.3">
      <c r="A102">
        <v>101</v>
      </c>
      <c r="B102" t="s">
        <v>63</v>
      </c>
      <c r="C102" t="s">
        <v>64</v>
      </c>
      <c r="D102" t="s">
        <v>65</v>
      </c>
      <c r="E102">
        <v>100</v>
      </c>
      <c r="F102">
        <v>125</v>
      </c>
      <c r="G102">
        <v>100</v>
      </c>
      <c r="H102">
        <v>95</v>
      </c>
      <c r="I102">
        <v>90</v>
      </c>
      <c r="J102">
        <v>110</v>
      </c>
      <c r="K102">
        <v>620</v>
      </c>
      <c r="L102" t="s">
        <v>396</v>
      </c>
      <c r="N102" t="s">
        <v>479</v>
      </c>
      <c r="O102" t="s">
        <v>628</v>
      </c>
      <c r="P102" t="s">
        <v>481</v>
      </c>
      <c r="Q102" t="s">
        <v>482</v>
      </c>
      <c r="R102" t="s">
        <v>198</v>
      </c>
      <c r="T102">
        <v>339</v>
      </c>
      <c r="V102">
        <v>375.76452259505351</v>
      </c>
      <c r="W102" t="s">
        <v>629</v>
      </c>
      <c r="X102" t="s">
        <v>630</v>
      </c>
    </row>
    <row r="103" spans="1:24" x14ac:dyDescent="0.3">
      <c r="A103">
        <v>102</v>
      </c>
      <c r="B103" t="s">
        <v>59</v>
      </c>
      <c r="C103" t="s">
        <v>60</v>
      </c>
      <c r="D103" t="s">
        <v>61</v>
      </c>
      <c r="E103">
        <v>70</v>
      </c>
      <c r="F103">
        <v>70</v>
      </c>
      <c r="G103">
        <v>80</v>
      </c>
      <c r="H103">
        <v>110</v>
      </c>
      <c r="I103">
        <v>90</v>
      </c>
      <c r="J103">
        <v>80</v>
      </c>
      <c r="K103">
        <v>500</v>
      </c>
      <c r="L103" t="s">
        <v>439</v>
      </c>
      <c r="N103" t="s">
        <v>440</v>
      </c>
      <c r="O103" t="s">
        <v>441</v>
      </c>
      <c r="P103" t="s">
        <v>442</v>
      </c>
      <c r="Q103" t="s">
        <v>443</v>
      </c>
      <c r="R103" t="s">
        <v>326</v>
      </c>
      <c r="T103">
        <v>253</v>
      </c>
      <c r="V103">
        <v>237.33855367233105</v>
      </c>
      <c r="X103" t="s">
        <v>444</v>
      </c>
    </row>
    <row r="104" spans="1:24" x14ac:dyDescent="0.3">
      <c r="A104">
        <v>103</v>
      </c>
      <c r="B104" t="s">
        <v>57</v>
      </c>
      <c r="C104" t="s">
        <v>55</v>
      </c>
      <c r="E104">
        <v>60</v>
      </c>
      <c r="F104">
        <v>70</v>
      </c>
      <c r="G104">
        <v>65</v>
      </c>
      <c r="H104">
        <v>40</v>
      </c>
      <c r="I104">
        <v>50</v>
      </c>
      <c r="J104">
        <v>55</v>
      </c>
      <c r="K104">
        <v>340</v>
      </c>
      <c r="L104" t="s">
        <v>322</v>
      </c>
      <c r="N104" t="s">
        <v>358</v>
      </c>
      <c r="O104" t="s">
        <v>572</v>
      </c>
      <c r="P104" t="s">
        <v>360</v>
      </c>
      <c r="Q104" t="s">
        <v>361</v>
      </c>
      <c r="R104" t="s">
        <v>54</v>
      </c>
      <c r="S104">
        <v>25</v>
      </c>
      <c r="T104">
        <v>120</v>
      </c>
      <c r="V104">
        <v>117.17946269075357</v>
      </c>
      <c r="X104" t="s">
        <v>573</v>
      </c>
    </row>
    <row r="105" spans="1:24" x14ac:dyDescent="0.3">
      <c r="A105">
        <v>104</v>
      </c>
      <c r="B105" t="s">
        <v>54</v>
      </c>
      <c r="C105" t="s">
        <v>55</v>
      </c>
      <c r="E105">
        <v>100</v>
      </c>
      <c r="F105">
        <v>110</v>
      </c>
      <c r="G105">
        <v>100</v>
      </c>
      <c r="H105">
        <v>60</v>
      </c>
      <c r="I105">
        <v>70</v>
      </c>
      <c r="J105">
        <v>85</v>
      </c>
      <c r="K105">
        <v>525</v>
      </c>
      <c r="L105" t="s">
        <v>322</v>
      </c>
      <c r="N105" t="s">
        <v>358</v>
      </c>
      <c r="O105" t="s">
        <v>359</v>
      </c>
      <c r="P105" t="s">
        <v>360</v>
      </c>
      <c r="Q105" t="s">
        <v>361</v>
      </c>
      <c r="R105" t="s">
        <v>198</v>
      </c>
      <c r="T105">
        <v>242</v>
      </c>
      <c r="V105">
        <v>274.1800141692579</v>
      </c>
      <c r="X105" t="s">
        <v>362</v>
      </c>
    </row>
    <row r="106" spans="1:24" x14ac:dyDescent="0.3">
      <c r="A106">
        <v>105</v>
      </c>
      <c r="B106" t="s">
        <v>51</v>
      </c>
      <c r="C106" t="s">
        <v>52</v>
      </c>
      <c r="D106" t="s">
        <v>53</v>
      </c>
      <c r="E106">
        <v>55</v>
      </c>
      <c r="F106">
        <v>65</v>
      </c>
      <c r="G106">
        <v>55</v>
      </c>
      <c r="H106">
        <v>80</v>
      </c>
      <c r="I106">
        <v>55</v>
      </c>
      <c r="J106">
        <v>90</v>
      </c>
      <c r="K106">
        <v>400</v>
      </c>
      <c r="L106" t="s">
        <v>465</v>
      </c>
      <c r="N106" t="s">
        <v>543</v>
      </c>
      <c r="O106" t="s">
        <v>544</v>
      </c>
      <c r="P106" t="s">
        <v>545</v>
      </c>
      <c r="Q106" t="s">
        <v>546</v>
      </c>
      <c r="R106" t="s">
        <v>547</v>
      </c>
      <c r="S106">
        <v>30</v>
      </c>
      <c r="T106">
        <v>165</v>
      </c>
      <c r="V106">
        <v>156.49641353986522</v>
      </c>
      <c r="X106" t="s">
        <v>548</v>
      </c>
    </row>
    <row r="107" spans="1:24" x14ac:dyDescent="0.3">
      <c r="A107">
        <v>106</v>
      </c>
      <c r="B107" t="s">
        <v>48</v>
      </c>
      <c r="C107" t="s">
        <v>49</v>
      </c>
      <c r="D107" t="s">
        <v>50</v>
      </c>
      <c r="E107">
        <v>80</v>
      </c>
      <c r="F107">
        <v>90</v>
      </c>
      <c r="G107">
        <v>80</v>
      </c>
      <c r="H107">
        <v>110</v>
      </c>
      <c r="I107">
        <v>80</v>
      </c>
      <c r="J107">
        <v>120</v>
      </c>
      <c r="K107">
        <v>560</v>
      </c>
      <c r="L107" t="s">
        <v>289</v>
      </c>
      <c r="N107" t="s">
        <v>290</v>
      </c>
      <c r="O107" t="s">
        <v>291</v>
      </c>
      <c r="P107" t="s">
        <v>292</v>
      </c>
      <c r="Q107" t="s">
        <v>293</v>
      </c>
      <c r="R107" t="s">
        <v>198</v>
      </c>
      <c r="T107">
        <v>296</v>
      </c>
      <c r="V107">
        <v>303.80766214879407</v>
      </c>
      <c r="X107" t="s">
        <v>294</v>
      </c>
    </row>
    <row r="108" spans="1:24" x14ac:dyDescent="0.3">
      <c r="A108">
        <v>107</v>
      </c>
      <c r="B108" t="s">
        <v>47</v>
      </c>
      <c r="C108" t="s">
        <v>45</v>
      </c>
      <c r="D108" t="s">
        <v>46</v>
      </c>
      <c r="E108">
        <v>60</v>
      </c>
      <c r="F108">
        <v>75</v>
      </c>
      <c r="G108">
        <v>85</v>
      </c>
      <c r="H108">
        <v>65</v>
      </c>
      <c r="I108">
        <v>80</v>
      </c>
      <c r="J108">
        <v>55</v>
      </c>
      <c r="K108">
        <v>420</v>
      </c>
      <c r="L108" t="s">
        <v>266</v>
      </c>
      <c r="N108" t="s">
        <v>267</v>
      </c>
      <c r="O108" t="s">
        <v>533</v>
      </c>
      <c r="P108" t="s">
        <v>269</v>
      </c>
      <c r="Q108" t="s">
        <v>270</v>
      </c>
      <c r="R108" t="s">
        <v>44</v>
      </c>
      <c r="S108">
        <v>35</v>
      </c>
      <c r="T108">
        <v>199</v>
      </c>
      <c r="V108">
        <v>171.18254359875277</v>
      </c>
      <c r="X108" t="s">
        <v>534</v>
      </c>
    </row>
    <row r="109" spans="1:24" x14ac:dyDescent="0.3">
      <c r="A109">
        <v>108</v>
      </c>
      <c r="B109" t="s">
        <v>44</v>
      </c>
      <c r="C109" t="s">
        <v>45</v>
      </c>
      <c r="D109" t="s">
        <v>46</v>
      </c>
      <c r="E109">
        <v>90</v>
      </c>
      <c r="F109">
        <v>110</v>
      </c>
      <c r="G109">
        <v>120</v>
      </c>
      <c r="H109">
        <v>90</v>
      </c>
      <c r="I109">
        <v>110</v>
      </c>
      <c r="J109">
        <v>65</v>
      </c>
      <c r="K109">
        <v>585</v>
      </c>
      <c r="L109" t="s">
        <v>266</v>
      </c>
      <c r="N109" t="s">
        <v>267</v>
      </c>
      <c r="O109" t="s">
        <v>268</v>
      </c>
      <c r="P109" t="s">
        <v>269</v>
      </c>
      <c r="Q109" t="s">
        <v>270</v>
      </c>
      <c r="R109" t="s">
        <v>198</v>
      </c>
      <c r="T109">
        <v>327</v>
      </c>
      <c r="V109">
        <v>314.13776582907497</v>
      </c>
      <c r="X109" t="s">
        <v>271</v>
      </c>
    </row>
    <row r="110" spans="1:24" x14ac:dyDescent="0.3">
      <c r="A110">
        <v>109</v>
      </c>
      <c r="B110" t="s">
        <v>43</v>
      </c>
      <c r="C110" t="s">
        <v>42</v>
      </c>
      <c r="D110" t="s">
        <v>34</v>
      </c>
      <c r="E110">
        <v>60</v>
      </c>
      <c r="F110">
        <v>80</v>
      </c>
      <c r="G110">
        <v>60</v>
      </c>
      <c r="H110">
        <v>75</v>
      </c>
      <c r="I110">
        <v>60</v>
      </c>
      <c r="J110">
        <v>100</v>
      </c>
      <c r="K110">
        <v>435</v>
      </c>
      <c r="L110" t="s">
        <v>201</v>
      </c>
      <c r="N110" t="s">
        <v>202</v>
      </c>
      <c r="O110" t="s">
        <v>518</v>
      </c>
      <c r="P110" t="s">
        <v>204</v>
      </c>
      <c r="Q110" t="s">
        <v>205</v>
      </c>
      <c r="R110" t="s">
        <v>41</v>
      </c>
      <c r="S110">
        <v>32</v>
      </c>
      <c r="T110">
        <v>171</v>
      </c>
      <c r="V110">
        <v>187.98607372968826</v>
      </c>
      <c r="X110" t="s">
        <v>519</v>
      </c>
    </row>
    <row r="111" spans="1:24" x14ac:dyDescent="0.3">
      <c r="A111">
        <v>110</v>
      </c>
      <c r="B111" t="s">
        <v>41</v>
      </c>
      <c r="C111" t="s">
        <v>42</v>
      </c>
      <c r="D111" t="s">
        <v>34</v>
      </c>
      <c r="E111">
        <v>85</v>
      </c>
      <c r="F111">
        <v>110</v>
      </c>
      <c r="G111">
        <v>85</v>
      </c>
      <c r="H111">
        <v>100</v>
      </c>
      <c r="I111">
        <v>85</v>
      </c>
      <c r="J111">
        <v>130</v>
      </c>
      <c r="K111">
        <v>595</v>
      </c>
      <c r="L111" t="s">
        <v>201</v>
      </c>
      <c r="N111" t="s">
        <v>202</v>
      </c>
      <c r="O111" t="s">
        <v>203</v>
      </c>
      <c r="P111" t="s">
        <v>204</v>
      </c>
      <c r="Q111" t="s">
        <v>205</v>
      </c>
      <c r="R111" t="s">
        <v>198</v>
      </c>
      <c r="T111">
        <v>310</v>
      </c>
      <c r="V111">
        <v>335.66600326017851</v>
      </c>
      <c r="X111" t="s">
        <v>206</v>
      </c>
    </row>
    <row r="112" spans="1:24" x14ac:dyDescent="0.3">
      <c r="A112">
        <v>111</v>
      </c>
      <c r="B112" t="s">
        <v>40</v>
      </c>
      <c r="C112" t="s">
        <v>39</v>
      </c>
      <c r="D112" t="s">
        <v>34</v>
      </c>
      <c r="E112">
        <v>60</v>
      </c>
      <c r="F112">
        <v>75</v>
      </c>
      <c r="G112">
        <v>60</v>
      </c>
      <c r="H112">
        <v>80</v>
      </c>
      <c r="I112">
        <v>60</v>
      </c>
      <c r="J112">
        <v>100</v>
      </c>
      <c r="K112">
        <v>435</v>
      </c>
      <c r="L112" t="s">
        <v>207</v>
      </c>
      <c r="N112" t="s">
        <v>208</v>
      </c>
      <c r="O112" t="s">
        <v>520</v>
      </c>
      <c r="P112" t="s">
        <v>210</v>
      </c>
      <c r="Q112" t="s">
        <v>211</v>
      </c>
      <c r="R112" t="s">
        <v>38</v>
      </c>
      <c r="S112">
        <v>32</v>
      </c>
      <c r="T112">
        <v>172</v>
      </c>
      <c r="V112">
        <v>187.81767019267744</v>
      </c>
      <c r="X112" t="s">
        <v>521</v>
      </c>
    </row>
    <row r="113" spans="1:24" x14ac:dyDescent="0.3">
      <c r="A113">
        <v>112</v>
      </c>
      <c r="B113" t="s">
        <v>38</v>
      </c>
      <c r="C113" t="s">
        <v>39</v>
      </c>
      <c r="D113" t="s">
        <v>34</v>
      </c>
      <c r="E113">
        <v>85</v>
      </c>
      <c r="F113">
        <v>100</v>
      </c>
      <c r="G113">
        <v>85</v>
      </c>
      <c r="H113">
        <v>110</v>
      </c>
      <c r="I113">
        <v>85</v>
      </c>
      <c r="J113">
        <v>130</v>
      </c>
      <c r="K113">
        <v>595</v>
      </c>
      <c r="L113" t="s">
        <v>207</v>
      </c>
      <c r="N113" t="s">
        <v>208</v>
      </c>
      <c r="O113" t="s">
        <v>209</v>
      </c>
      <c r="P113" t="s">
        <v>210</v>
      </c>
      <c r="Q113" t="s">
        <v>211</v>
      </c>
      <c r="R113" t="s">
        <v>198</v>
      </c>
      <c r="T113">
        <v>311</v>
      </c>
      <c r="V113">
        <v>335.22109644461818</v>
      </c>
      <c r="X113" t="s">
        <v>212</v>
      </c>
    </row>
    <row r="114" spans="1:24" x14ac:dyDescent="0.3">
      <c r="A114">
        <v>113</v>
      </c>
      <c r="B114" t="s">
        <v>36</v>
      </c>
      <c r="C114" t="s">
        <v>33</v>
      </c>
      <c r="D114" t="s">
        <v>34</v>
      </c>
      <c r="E114">
        <v>60</v>
      </c>
      <c r="F114">
        <v>70</v>
      </c>
      <c r="G114">
        <v>60</v>
      </c>
      <c r="H114">
        <v>85</v>
      </c>
      <c r="I114">
        <v>60</v>
      </c>
      <c r="J114">
        <v>100</v>
      </c>
      <c r="K114">
        <v>435</v>
      </c>
      <c r="L114" t="s">
        <v>522</v>
      </c>
      <c r="N114" t="s">
        <v>523</v>
      </c>
      <c r="O114" t="s">
        <v>524</v>
      </c>
      <c r="P114" t="s">
        <v>525</v>
      </c>
      <c r="Q114" t="s">
        <v>526</v>
      </c>
      <c r="R114" t="s">
        <v>32</v>
      </c>
      <c r="S114">
        <v>32</v>
      </c>
      <c r="T114">
        <v>173</v>
      </c>
      <c r="V114">
        <v>187.81746640805665</v>
      </c>
      <c r="X114" t="s">
        <v>527</v>
      </c>
    </row>
    <row r="115" spans="1:24" x14ac:dyDescent="0.3">
      <c r="A115">
        <v>114</v>
      </c>
      <c r="B115" t="s">
        <v>32</v>
      </c>
      <c r="C115" t="s">
        <v>33</v>
      </c>
      <c r="D115" t="s">
        <v>34</v>
      </c>
      <c r="E115">
        <v>85</v>
      </c>
      <c r="F115">
        <v>95</v>
      </c>
      <c r="G115">
        <v>85</v>
      </c>
      <c r="H115">
        <v>120</v>
      </c>
      <c r="I115">
        <v>85</v>
      </c>
      <c r="J115">
        <v>130</v>
      </c>
      <c r="K115">
        <v>600</v>
      </c>
      <c r="L115" t="s">
        <v>522</v>
      </c>
      <c r="N115" t="s">
        <v>523</v>
      </c>
      <c r="O115" t="s">
        <v>687</v>
      </c>
      <c r="P115" t="s">
        <v>525</v>
      </c>
      <c r="Q115" t="s">
        <v>526</v>
      </c>
      <c r="R115" t="s">
        <v>198</v>
      </c>
      <c r="T115">
        <v>312</v>
      </c>
      <c r="V115">
        <v>341.7033235786119</v>
      </c>
      <c r="W115" t="s">
        <v>688</v>
      </c>
      <c r="X115" t="s">
        <v>689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AE8ED-B576-4DF5-9893-1D3CBCBACFFC}">
  <sheetPr codeName="Sheet3"/>
  <dimension ref="A1:AD115"/>
  <sheetViews>
    <sheetView workbookViewId="0">
      <selection sqref="A1:AD115"/>
    </sheetView>
  </sheetViews>
  <sheetFormatPr defaultRowHeight="14.4" x14ac:dyDescent="0.3"/>
  <cols>
    <col min="1" max="1" width="17.6640625" bestFit="1" customWidth="1"/>
    <col min="2" max="2" width="12.44140625" bestFit="1" customWidth="1"/>
    <col min="3" max="4" width="8.77734375" bestFit="1" customWidth="1"/>
    <col min="5" max="5" width="5.5546875" bestFit="1" customWidth="1"/>
    <col min="6" max="7" width="6.109375" bestFit="1" customWidth="1"/>
    <col min="8" max="9" width="6.5546875" bestFit="1" customWidth="1"/>
    <col min="10" max="10" width="6.33203125" bestFit="1" customWidth="1"/>
    <col min="11" max="11" width="9.33203125" bestFit="1" customWidth="1"/>
    <col min="12" max="13" width="9.88671875" bestFit="1" customWidth="1"/>
    <col min="14" max="15" width="10.33203125" bestFit="1" customWidth="1"/>
    <col min="16" max="16" width="12" bestFit="1" customWidth="1"/>
    <col min="17" max="17" width="12.21875" bestFit="1" customWidth="1"/>
    <col min="18" max="19" width="7" bestFit="1" customWidth="1"/>
    <col min="20" max="25" width="12" bestFit="1" customWidth="1"/>
    <col min="26" max="27" width="12.6640625" bestFit="1" customWidth="1"/>
    <col min="28" max="28" width="14.88671875" bestFit="1" customWidth="1"/>
    <col min="29" max="29" width="13.21875" bestFit="1" customWidth="1"/>
    <col min="30" max="30" width="15.44140625" bestFit="1" customWidth="1"/>
  </cols>
  <sheetData>
    <row r="1" spans="1:30" x14ac:dyDescent="0.3">
      <c r="A1" t="s">
        <v>3</v>
      </c>
      <c r="B1" t="s">
        <v>0</v>
      </c>
      <c r="C1" t="s">
        <v>4</v>
      </c>
      <c r="D1" t="s">
        <v>5</v>
      </c>
      <c r="E1" t="s">
        <v>6</v>
      </c>
      <c r="F1" t="s">
        <v>7</v>
      </c>
      <c r="G1" t="s">
        <v>8</v>
      </c>
      <c r="H1" t="s">
        <v>9</v>
      </c>
      <c r="I1" t="s">
        <v>10</v>
      </c>
      <c r="J1" t="s">
        <v>11</v>
      </c>
      <c r="K1" t="s">
        <v>12</v>
      </c>
      <c r="L1" t="s">
        <v>13</v>
      </c>
      <c r="M1" t="s">
        <v>14</v>
      </c>
      <c r="N1" t="s">
        <v>15</v>
      </c>
      <c r="O1" t="s">
        <v>16</v>
      </c>
      <c r="P1" t="s">
        <v>17</v>
      </c>
      <c r="Q1" t="s">
        <v>18</v>
      </c>
      <c r="R1" t="s">
        <v>19</v>
      </c>
      <c r="S1" t="s">
        <v>20</v>
      </c>
      <c r="T1" t="s">
        <v>21</v>
      </c>
      <c r="U1" t="s">
        <v>22</v>
      </c>
      <c r="V1" t="s">
        <v>23</v>
      </c>
      <c r="W1" t="s">
        <v>24</v>
      </c>
      <c r="X1" t="s">
        <v>25</v>
      </c>
      <c r="Y1" t="s">
        <v>26</v>
      </c>
      <c r="Z1" t="s">
        <v>27</v>
      </c>
      <c r="AA1" t="s">
        <v>28</v>
      </c>
      <c r="AB1" t="s">
        <v>29</v>
      </c>
      <c r="AC1" t="s">
        <v>30</v>
      </c>
      <c r="AD1" t="s">
        <v>31</v>
      </c>
    </row>
    <row r="2" spans="1:30" x14ac:dyDescent="0.3">
      <c r="A2">
        <v>114</v>
      </c>
      <c r="B2" t="s">
        <v>32</v>
      </c>
      <c r="C2" t="s">
        <v>33</v>
      </c>
      <c r="D2" t="s">
        <v>34</v>
      </c>
      <c r="E2">
        <v>85</v>
      </c>
      <c r="F2">
        <v>95</v>
      </c>
      <c r="G2">
        <v>85</v>
      </c>
      <c r="H2">
        <v>120</v>
      </c>
      <c r="I2">
        <v>85</v>
      </c>
      <c r="J2">
        <v>130</v>
      </c>
      <c r="K2">
        <v>311</v>
      </c>
      <c r="L2">
        <v>226</v>
      </c>
      <c r="M2">
        <v>206</v>
      </c>
      <c r="N2">
        <v>276</v>
      </c>
      <c r="O2">
        <v>206</v>
      </c>
      <c r="P2">
        <v>0.98418491484184911</v>
      </c>
      <c r="Q2">
        <v>809</v>
      </c>
      <c r="R2">
        <v>64066</v>
      </c>
      <c r="S2">
        <v>64066</v>
      </c>
      <c r="T2">
        <v>344.16413034632689</v>
      </c>
      <c r="U2">
        <v>451.90057960419824</v>
      </c>
      <c r="V2">
        <v>125.33665409808287</v>
      </c>
      <c r="W2">
        <v>127.85897036615346</v>
      </c>
      <c r="X2">
        <v>157.96527491566727</v>
      </c>
      <c r="Y2">
        <v>207.81719323359567</v>
      </c>
      <c r="Z2">
        <v>12.478216426154734</v>
      </c>
      <c r="AA2">
        <v>-7.6719695586445837</v>
      </c>
      <c r="AB2">
        <v>341.7033235786119</v>
      </c>
      <c r="AC2" t="s">
        <v>35</v>
      </c>
      <c r="AD2">
        <v>65</v>
      </c>
    </row>
    <row r="3" spans="1:30" x14ac:dyDescent="0.3">
      <c r="A3">
        <v>113</v>
      </c>
      <c r="B3" t="s">
        <v>36</v>
      </c>
      <c r="C3" t="s">
        <v>33</v>
      </c>
      <c r="D3" t="s">
        <v>34</v>
      </c>
      <c r="E3">
        <v>60</v>
      </c>
      <c r="F3">
        <v>70</v>
      </c>
      <c r="G3">
        <v>60</v>
      </c>
      <c r="H3">
        <v>85</v>
      </c>
      <c r="I3">
        <v>60</v>
      </c>
      <c r="J3">
        <v>100</v>
      </c>
      <c r="K3">
        <v>261</v>
      </c>
      <c r="L3">
        <v>176</v>
      </c>
      <c r="M3">
        <v>156</v>
      </c>
      <c r="N3">
        <v>206</v>
      </c>
      <c r="O3">
        <v>156</v>
      </c>
      <c r="P3">
        <v>0.86496350364963503</v>
      </c>
      <c r="Q3">
        <v>711</v>
      </c>
      <c r="R3">
        <v>40716</v>
      </c>
      <c r="S3">
        <v>40716</v>
      </c>
      <c r="T3">
        <v>227.53133369932291</v>
      </c>
      <c r="U3">
        <v>275.95021923317836</v>
      </c>
      <c r="V3">
        <v>71.340912331458739</v>
      </c>
      <c r="W3">
        <v>73.085656855192553</v>
      </c>
      <c r="X3">
        <v>105.39699252448364</v>
      </c>
      <c r="Y3">
        <v>131.35042982418844</v>
      </c>
      <c r="Z3">
        <v>8.9595804506449692</v>
      </c>
      <c r="AA3">
        <v>-4.0573310418560382</v>
      </c>
      <c r="AB3">
        <v>187.81746640805665</v>
      </c>
      <c r="AC3" t="s">
        <v>37</v>
      </c>
      <c r="AD3">
        <v>80</v>
      </c>
    </row>
    <row r="4" spans="1:30" x14ac:dyDescent="0.3">
      <c r="A4">
        <v>112</v>
      </c>
      <c r="B4" t="s">
        <v>38</v>
      </c>
      <c r="C4" t="s">
        <v>39</v>
      </c>
      <c r="D4" t="s">
        <v>34</v>
      </c>
      <c r="E4">
        <v>85</v>
      </c>
      <c r="F4">
        <v>100</v>
      </c>
      <c r="G4">
        <v>85</v>
      </c>
      <c r="H4">
        <v>110</v>
      </c>
      <c r="I4">
        <v>85</v>
      </c>
      <c r="J4">
        <v>130</v>
      </c>
      <c r="K4">
        <v>311</v>
      </c>
      <c r="L4">
        <v>236</v>
      </c>
      <c r="M4">
        <v>206</v>
      </c>
      <c r="N4">
        <v>256</v>
      </c>
      <c r="O4">
        <v>206</v>
      </c>
      <c r="P4">
        <v>0.98418491484184911</v>
      </c>
      <c r="Q4">
        <v>809</v>
      </c>
      <c r="R4">
        <v>64066</v>
      </c>
      <c r="S4">
        <v>64066</v>
      </c>
      <c r="T4">
        <v>364.80381640799766</v>
      </c>
      <c r="U4">
        <v>407.44562181746397</v>
      </c>
      <c r="V4">
        <v>125.33665409808287</v>
      </c>
      <c r="W4">
        <v>127.85897036615346</v>
      </c>
      <c r="X4">
        <v>167.26791428081151</v>
      </c>
      <c r="Y4">
        <v>188.49738773683305</v>
      </c>
      <c r="Z4">
        <v>9.3445810210443234</v>
      </c>
      <c r="AA4">
        <v>-3.479249084344139</v>
      </c>
      <c r="AB4">
        <v>335.22109644461818</v>
      </c>
      <c r="AC4" t="s">
        <v>35</v>
      </c>
      <c r="AD4">
        <v>65</v>
      </c>
    </row>
    <row r="5" spans="1:30" x14ac:dyDescent="0.3">
      <c r="A5">
        <v>111</v>
      </c>
      <c r="B5" t="s">
        <v>40</v>
      </c>
      <c r="C5" t="s">
        <v>39</v>
      </c>
      <c r="D5" t="s">
        <v>34</v>
      </c>
      <c r="E5">
        <v>60</v>
      </c>
      <c r="F5">
        <v>75</v>
      </c>
      <c r="G5">
        <v>60</v>
      </c>
      <c r="H5">
        <v>80</v>
      </c>
      <c r="I5">
        <v>60</v>
      </c>
      <c r="J5">
        <v>100</v>
      </c>
      <c r="K5">
        <v>261</v>
      </c>
      <c r="L5">
        <v>186</v>
      </c>
      <c r="M5">
        <v>156</v>
      </c>
      <c r="N5">
        <v>196</v>
      </c>
      <c r="O5">
        <v>156</v>
      </c>
      <c r="P5">
        <v>0.86496350364963503</v>
      </c>
      <c r="Q5">
        <v>711</v>
      </c>
      <c r="R5">
        <v>40716</v>
      </c>
      <c r="S5">
        <v>40716</v>
      </c>
      <c r="T5">
        <v>243.37694042722569</v>
      </c>
      <c r="U5">
        <v>259.51746829582839</v>
      </c>
      <c r="V5">
        <v>71.340912331458739</v>
      </c>
      <c r="W5">
        <v>73.085656855192553</v>
      </c>
      <c r="X5">
        <v>112.53886301956474</v>
      </c>
      <c r="Y5">
        <v>124.20887424315752</v>
      </c>
      <c r="Z5">
        <v>7.8012338296071784</v>
      </c>
      <c r="AA5">
        <v>-1.9650425164906318</v>
      </c>
      <c r="AB5">
        <v>187.81767019267744</v>
      </c>
      <c r="AC5" t="s">
        <v>37</v>
      </c>
      <c r="AD5">
        <v>80</v>
      </c>
    </row>
    <row r="6" spans="1:30" x14ac:dyDescent="0.3">
      <c r="A6">
        <v>110</v>
      </c>
      <c r="B6" t="s">
        <v>41</v>
      </c>
      <c r="C6" t="s">
        <v>42</v>
      </c>
      <c r="D6" t="s">
        <v>34</v>
      </c>
      <c r="E6">
        <v>85</v>
      </c>
      <c r="F6">
        <v>110</v>
      </c>
      <c r="G6">
        <v>85</v>
      </c>
      <c r="H6">
        <v>100</v>
      </c>
      <c r="I6">
        <v>85</v>
      </c>
      <c r="J6">
        <v>130</v>
      </c>
      <c r="K6">
        <v>311</v>
      </c>
      <c r="L6">
        <v>256</v>
      </c>
      <c r="M6">
        <v>206</v>
      </c>
      <c r="N6">
        <v>236</v>
      </c>
      <c r="O6">
        <v>206</v>
      </c>
      <c r="P6">
        <v>0.98418491484184911</v>
      </c>
      <c r="Q6">
        <v>809</v>
      </c>
      <c r="R6">
        <v>64066</v>
      </c>
      <c r="S6">
        <v>64066</v>
      </c>
      <c r="T6">
        <v>407.44562181746397</v>
      </c>
      <c r="U6">
        <v>364.80381640799766</v>
      </c>
      <c r="V6">
        <v>125.33665409808287</v>
      </c>
      <c r="W6">
        <v>127.85897036615346</v>
      </c>
      <c r="X6">
        <v>186.48726366517963</v>
      </c>
      <c r="Y6">
        <v>169.96556524598978</v>
      </c>
      <c r="Z6">
        <v>9.0185427511117719</v>
      </c>
      <c r="AA6">
        <v>2.0506807317033484</v>
      </c>
      <c r="AB6">
        <v>335.66600326017851</v>
      </c>
      <c r="AC6" t="s">
        <v>35</v>
      </c>
      <c r="AD6">
        <v>65</v>
      </c>
    </row>
    <row r="7" spans="1:30" x14ac:dyDescent="0.3">
      <c r="A7">
        <v>109</v>
      </c>
      <c r="B7" t="s">
        <v>43</v>
      </c>
      <c r="C7" t="s">
        <v>42</v>
      </c>
      <c r="D7" t="s">
        <v>34</v>
      </c>
      <c r="E7">
        <v>60</v>
      </c>
      <c r="F7">
        <v>80</v>
      </c>
      <c r="G7">
        <v>60</v>
      </c>
      <c r="H7">
        <v>75</v>
      </c>
      <c r="I7">
        <v>60</v>
      </c>
      <c r="J7">
        <v>100</v>
      </c>
      <c r="K7">
        <v>261</v>
      </c>
      <c r="L7">
        <v>196</v>
      </c>
      <c r="M7">
        <v>156</v>
      </c>
      <c r="N7">
        <v>186</v>
      </c>
      <c r="O7">
        <v>156</v>
      </c>
      <c r="P7">
        <v>0.86496350364963503</v>
      </c>
      <c r="Q7">
        <v>711</v>
      </c>
      <c r="R7">
        <v>40716</v>
      </c>
      <c r="S7">
        <v>40716</v>
      </c>
      <c r="T7">
        <v>259.51746829582839</v>
      </c>
      <c r="U7">
        <v>243.37694042722569</v>
      </c>
      <c r="V7">
        <v>71.340912331458739</v>
      </c>
      <c r="W7">
        <v>73.085656855192553</v>
      </c>
      <c r="X7">
        <v>119.81365922896586</v>
      </c>
      <c r="Y7">
        <v>117.19431670983478</v>
      </c>
      <c r="Z7">
        <v>7.0883383822978487</v>
      </c>
      <c r="AA7">
        <v>0.12811431517384189</v>
      </c>
      <c r="AB7">
        <v>187.98607372968826</v>
      </c>
      <c r="AC7" t="s">
        <v>37</v>
      </c>
      <c r="AD7">
        <v>80</v>
      </c>
    </row>
    <row r="8" spans="1:30" x14ac:dyDescent="0.3">
      <c r="A8">
        <v>108</v>
      </c>
      <c r="B8" t="s">
        <v>44</v>
      </c>
      <c r="C8" t="s">
        <v>45</v>
      </c>
      <c r="D8" t="s">
        <v>46</v>
      </c>
      <c r="E8">
        <v>90</v>
      </c>
      <c r="F8">
        <v>110</v>
      </c>
      <c r="G8">
        <v>120</v>
      </c>
      <c r="H8">
        <v>90</v>
      </c>
      <c r="I8">
        <v>110</v>
      </c>
      <c r="J8">
        <v>65</v>
      </c>
      <c r="K8">
        <v>321</v>
      </c>
      <c r="L8">
        <v>256</v>
      </c>
      <c r="M8">
        <v>276</v>
      </c>
      <c r="N8">
        <v>216</v>
      </c>
      <c r="O8">
        <v>256</v>
      </c>
      <c r="P8">
        <v>0.5024330900243309</v>
      </c>
      <c r="Q8">
        <v>413</v>
      </c>
      <c r="R8">
        <v>88596</v>
      </c>
      <c r="S8">
        <v>82176</v>
      </c>
      <c r="T8">
        <v>256.58798566282519</v>
      </c>
      <c r="U8">
        <v>216.43454085695527</v>
      </c>
      <c r="V8">
        <v>182.06108859638221</v>
      </c>
      <c r="W8">
        <v>170.34054242968676</v>
      </c>
      <c r="X8">
        <v>118.49329416237259</v>
      </c>
      <c r="Y8">
        <v>105.48534328530003</v>
      </c>
      <c r="Z8">
        <v>-10.801428363524119</v>
      </c>
      <c r="AA8">
        <v>3.6223207470326808</v>
      </c>
      <c r="AB8">
        <v>314.13776582907497</v>
      </c>
      <c r="AC8" t="s">
        <v>35</v>
      </c>
      <c r="AD8">
        <v>65</v>
      </c>
    </row>
    <row r="9" spans="1:30" x14ac:dyDescent="0.3">
      <c r="A9">
        <v>107</v>
      </c>
      <c r="B9" t="s">
        <v>47</v>
      </c>
      <c r="C9" t="s">
        <v>45</v>
      </c>
      <c r="D9" t="s">
        <v>46</v>
      </c>
      <c r="E9">
        <v>60</v>
      </c>
      <c r="F9">
        <v>75</v>
      </c>
      <c r="G9">
        <v>85</v>
      </c>
      <c r="H9">
        <v>65</v>
      </c>
      <c r="I9">
        <v>80</v>
      </c>
      <c r="J9">
        <v>55</v>
      </c>
      <c r="K9">
        <v>261</v>
      </c>
      <c r="L9">
        <v>186</v>
      </c>
      <c r="M9">
        <v>206</v>
      </c>
      <c r="N9">
        <v>166</v>
      </c>
      <c r="O9">
        <v>196</v>
      </c>
      <c r="P9">
        <v>0.36739659367396593</v>
      </c>
      <c r="Q9">
        <v>302</v>
      </c>
      <c r="R9">
        <v>53766</v>
      </c>
      <c r="S9">
        <v>51156</v>
      </c>
      <c r="T9">
        <v>168.77508735868446</v>
      </c>
      <c r="U9">
        <v>151.94640776699032</v>
      </c>
      <c r="V9">
        <v>101.5184039826127</v>
      </c>
      <c r="W9">
        <v>97.575309662662875</v>
      </c>
      <c r="X9">
        <v>78.914604734119592</v>
      </c>
      <c r="Y9">
        <v>77.459263626773136</v>
      </c>
      <c r="Z9">
        <v>-4.1571468944577239</v>
      </c>
      <c r="AA9">
        <v>0.79078257830229504</v>
      </c>
      <c r="AB9">
        <v>171.18254359875277</v>
      </c>
      <c r="AC9" t="s">
        <v>37</v>
      </c>
      <c r="AD9">
        <v>80</v>
      </c>
    </row>
    <row r="10" spans="1:30" x14ac:dyDescent="0.3">
      <c r="A10">
        <v>106</v>
      </c>
      <c r="B10" t="s">
        <v>48</v>
      </c>
      <c r="C10" t="s">
        <v>49</v>
      </c>
      <c r="D10" t="s">
        <v>50</v>
      </c>
      <c r="E10">
        <v>80</v>
      </c>
      <c r="F10">
        <v>90</v>
      </c>
      <c r="G10">
        <v>80</v>
      </c>
      <c r="H10">
        <v>110</v>
      </c>
      <c r="I10">
        <v>80</v>
      </c>
      <c r="J10">
        <v>120</v>
      </c>
      <c r="K10">
        <v>301</v>
      </c>
      <c r="L10">
        <v>216</v>
      </c>
      <c r="M10">
        <v>196</v>
      </c>
      <c r="N10">
        <v>256</v>
      </c>
      <c r="O10">
        <v>196</v>
      </c>
      <c r="P10">
        <v>0.96228710462287104</v>
      </c>
      <c r="Q10">
        <v>791</v>
      </c>
      <c r="R10">
        <v>58996</v>
      </c>
      <c r="S10">
        <v>58996</v>
      </c>
      <c r="T10">
        <v>317.94338548584636</v>
      </c>
      <c r="U10">
        <v>398.68751468203726</v>
      </c>
      <c r="V10">
        <v>113.6125251577495</v>
      </c>
      <c r="W10">
        <v>115.96600679011185</v>
      </c>
      <c r="X10">
        <v>146.14716234391213</v>
      </c>
      <c r="Y10">
        <v>184.69117725322428</v>
      </c>
      <c r="Z10">
        <v>10.656236865979199</v>
      </c>
      <c r="AA10">
        <v>-5.9908149679456422</v>
      </c>
      <c r="AB10">
        <v>303.80766214879407</v>
      </c>
      <c r="AC10" t="s">
        <v>35</v>
      </c>
      <c r="AD10">
        <v>65</v>
      </c>
    </row>
    <row r="11" spans="1:30" x14ac:dyDescent="0.3">
      <c r="A11">
        <v>105</v>
      </c>
      <c r="B11" t="s">
        <v>51</v>
      </c>
      <c r="C11" t="s">
        <v>52</v>
      </c>
      <c r="D11" t="s">
        <v>53</v>
      </c>
      <c r="E11">
        <v>55</v>
      </c>
      <c r="F11">
        <v>65</v>
      </c>
      <c r="G11">
        <v>55</v>
      </c>
      <c r="H11">
        <v>80</v>
      </c>
      <c r="I11">
        <v>55</v>
      </c>
      <c r="J11">
        <v>90</v>
      </c>
      <c r="K11">
        <v>251</v>
      </c>
      <c r="L11">
        <v>166</v>
      </c>
      <c r="M11">
        <v>146</v>
      </c>
      <c r="N11">
        <v>196</v>
      </c>
      <c r="O11">
        <v>146</v>
      </c>
      <c r="P11">
        <v>0.76034063260340634</v>
      </c>
      <c r="Q11">
        <v>625</v>
      </c>
      <c r="R11">
        <v>36646</v>
      </c>
      <c r="S11">
        <v>36646</v>
      </c>
      <c r="T11">
        <v>197.5488454706927</v>
      </c>
      <c r="U11">
        <v>239.29794439382528</v>
      </c>
      <c r="V11">
        <v>61.929234858646737</v>
      </c>
      <c r="W11">
        <v>63.538445463774522</v>
      </c>
      <c r="X11">
        <v>91.883401550898256</v>
      </c>
      <c r="Y11">
        <v>115.4216143182271</v>
      </c>
      <c r="Z11">
        <v>7.9244965002355245</v>
      </c>
      <c r="AA11">
        <v>-3.6836866088236819</v>
      </c>
      <c r="AB11">
        <v>156.49641353986522</v>
      </c>
      <c r="AC11" t="s">
        <v>37</v>
      </c>
      <c r="AD11">
        <v>80</v>
      </c>
    </row>
    <row r="12" spans="1:30" x14ac:dyDescent="0.3">
      <c r="A12">
        <v>104</v>
      </c>
      <c r="B12" t="s">
        <v>54</v>
      </c>
      <c r="C12" t="s">
        <v>55</v>
      </c>
      <c r="E12">
        <v>100</v>
      </c>
      <c r="F12">
        <v>110</v>
      </c>
      <c r="G12">
        <v>100</v>
      </c>
      <c r="H12">
        <v>60</v>
      </c>
      <c r="I12">
        <v>70</v>
      </c>
      <c r="J12">
        <v>85</v>
      </c>
      <c r="K12">
        <v>341</v>
      </c>
      <c r="L12">
        <v>256</v>
      </c>
      <c r="M12">
        <v>236</v>
      </c>
      <c r="N12">
        <v>156</v>
      </c>
      <c r="O12">
        <v>176</v>
      </c>
      <c r="P12">
        <v>0.71289537712895379</v>
      </c>
      <c r="Q12">
        <v>586</v>
      </c>
      <c r="R12">
        <v>80476</v>
      </c>
      <c r="S12">
        <v>60016</v>
      </c>
      <c r="T12">
        <v>313.12321875949459</v>
      </c>
      <c r="U12">
        <v>178.53655284088202</v>
      </c>
      <c r="V12">
        <v>163.28398268010864</v>
      </c>
      <c r="W12">
        <v>118.35867401842792</v>
      </c>
      <c r="X12">
        <v>143.97463546529889</v>
      </c>
      <c r="Y12">
        <v>89.01514977613725</v>
      </c>
      <c r="Z12">
        <v>-3.6227930918318094</v>
      </c>
      <c r="AA12">
        <v>14.631490229663289</v>
      </c>
      <c r="AB12">
        <v>274.1800141692579</v>
      </c>
      <c r="AC12" t="s">
        <v>56</v>
      </c>
      <c r="AD12">
        <v>70</v>
      </c>
    </row>
    <row r="13" spans="1:30" x14ac:dyDescent="0.3">
      <c r="A13">
        <v>103</v>
      </c>
      <c r="B13" t="s">
        <v>57</v>
      </c>
      <c r="C13" t="s">
        <v>55</v>
      </c>
      <c r="E13">
        <v>60</v>
      </c>
      <c r="F13">
        <v>70</v>
      </c>
      <c r="G13">
        <v>65</v>
      </c>
      <c r="H13">
        <v>40</v>
      </c>
      <c r="I13">
        <v>50</v>
      </c>
      <c r="J13">
        <v>55</v>
      </c>
      <c r="K13">
        <v>261</v>
      </c>
      <c r="L13">
        <v>176</v>
      </c>
      <c r="M13">
        <v>166</v>
      </c>
      <c r="N13">
        <v>116</v>
      </c>
      <c r="O13">
        <v>136</v>
      </c>
      <c r="P13">
        <v>0.36739659367396593</v>
      </c>
      <c r="Q13">
        <v>302</v>
      </c>
      <c r="R13">
        <v>43326</v>
      </c>
      <c r="S13">
        <v>35496</v>
      </c>
      <c r="T13">
        <v>160.39207673639197</v>
      </c>
      <c r="U13">
        <v>108.6929679910325</v>
      </c>
      <c r="V13">
        <v>77.376410661689533</v>
      </c>
      <c r="W13">
        <v>60.840830451457393</v>
      </c>
      <c r="X13">
        <v>75.13624665346147</v>
      </c>
      <c r="Y13">
        <v>58.661629231385049</v>
      </c>
      <c r="Z13">
        <v>-0.854204306534598</v>
      </c>
      <c r="AA13">
        <v>4.8354545581772399</v>
      </c>
      <c r="AB13">
        <v>117.17946269075357</v>
      </c>
      <c r="AC13" t="s">
        <v>58</v>
      </c>
      <c r="AD13">
        <v>80</v>
      </c>
    </row>
    <row r="14" spans="1:30" x14ac:dyDescent="0.3">
      <c r="A14">
        <v>102</v>
      </c>
      <c r="B14" t="s">
        <v>59</v>
      </c>
      <c r="C14" t="s">
        <v>60</v>
      </c>
      <c r="D14" t="s">
        <v>61</v>
      </c>
      <c r="E14">
        <v>70</v>
      </c>
      <c r="F14">
        <v>70</v>
      </c>
      <c r="G14">
        <v>80</v>
      </c>
      <c r="H14">
        <v>110</v>
      </c>
      <c r="I14">
        <v>90</v>
      </c>
      <c r="J14">
        <v>80</v>
      </c>
      <c r="K14">
        <v>281</v>
      </c>
      <c r="L14">
        <v>176</v>
      </c>
      <c r="M14">
        <v>196</v>
      </c>
      <c r="N14">
        <v>256</v>
      </c>
      <c r="O14">
        <v>216</v>
      </c>
      <c r="P14">
        <v>0.66423357664233573</v>
      </c>
      <c r="Q14">
        <v>546</v>
      </c>
      <c r="R14">
        <v>55076</v>
      </c>
      <c r="S14">
        <v>60696</v>
      </c>
      <c r="T14">
        <v>197.4611014457052</v>
      </c>
      <c r="U14">
        <v>298.97066923110549</v>
      </c>
      <c r="V14">
        <v>104.5477154050657</v>
      </c>
      <c r="W14">
        <v>119.95378550397196</v>
      </c>
      <c r="X14">
        <v>91.843853903784549</v>
      </c>
      <c r="Y14">
        <v>141.35495212160063</v>
      </c>
      <c r="Z14">
        <v>2.9803741878254888</v>
      </c>
      <c r="AA14">
        <v>-9.5093043954945049</v>
      </c>
      <c r="AB14">
        <v>237.33855367233105</v>
      </c>
      <c r="AC14" t="s">
        <v>62</v>
      </c>
      <c r="AD14">
        <v>75</v>
      </c>
    </row>
    <row r="15" spans="1:30" x14ac:dyDescent="0.3">
      <c r="A15">
        <v>101</v>
      </c>
      <c r="B15" t="s">
        <v>63</v>
      </c>
      <c r="C15" t="s">
        <v>64</v>
      </c>
      <c r="D15" t="s">
        <v>65</v>
      </c>
      <c r="E15">
        <v>100</v>
      </c>
      <c r="F15">
        <v>125</v>
      </c>
      <c r="G15">
        <v>100</v>
      </c>
      <c r="H15">
        <v>95</v>
      </c>
      <c r="I15">
        <v>90</v>
      </c>
      <c r="J15">
        <v>110</v>
      </c>
      <c r="K15">
        <v>341</v>
      </c>
      <c r="L15">
        <v>286</v>
      </c>
      <c r="M15">
        <v>236</v>
      </c>
      <c r="N15">
        <v>226</v>
      </c>
      <c r="O15">
        <v>216</v>
      </c>
      <c r="P15">
        <v>0.92822384428223847</v>
      </c>
      <c r="Q15">
        <v>763</v>
      </c>
      <c r="R15">
        <v>80476</v>
      </c>
      <c r="S15">
        <v>73656</v>
      </c>
      <c r="T15">
        <v>446.8484374476264</v>
      </c>
      <c r="U15">
        <v>327.44190665342609</v>
      </c>
      <c r="V15">
        <v>163.28398268010864</v>
      </c>
      <c r="W15">
        <v>150.35473381669374</v>
      </c>
      <c r="X15">
        <v>204.24674812068102</v>
      </c>
      <c r="Y15">
        <v>153.72834750058638</v>
      </c>
      <c r="Z15">
        <v>6.1532280067945395</v>
      </c>
      <c r="AA15">
        <v>9.2940438987372431</v>
      </c>
      <c r="AB15">
        <v>375.76452259505351</v>
      </c>
      <c r="AC15" t="s">
        <v>66</v>
      </c>
      <c r="AD15">
        <v>60</v>
      </c>
    </row>
    <row r="16" spans="1:30" x14ac:dyDescent="0.3">
      <c r="A16">
        <v>100</v>
      </c>
      <c r="B16" t="s">
        <v>67</v>
      </c>
      <c r="C16" t="s">
        <v>64</v>
      </c>
      <c r="D16" t="s">
        <v>65</v>
      </c>
      <c r="E16">
        <v>70</v>
      </c>
      <c r="F16">
        <v>90</v>
      </c>
      <c r="G16">
        <v>75</v>
      </c>
      <c r="H16">
        <v>75</v>
      </c>
      <c r="I16">
        <v>65</v>
      </c>
      <c r="J16">
        <v>90</v>
      </c>
      <c r="K16">
        <v>281</v>
      </c>
      <c r="L16">
        <v>216</v>
      </c>
      <c r="M16">
        <v>186</v>
      </c>
      <c r="N16">
        <v>186</v>
      </c>
      <c r="O16">
        <v>166</v>
      </c>
      <c r="P16">
        <v>0.76034063260340634</v>
      </c>
      <c r="Q16">
        <v>625</v>
      </c>
      <c r="R16">
        <v>52266</v>
      </c>
      <c r="S16">
        <v>46646</v>
      </c>
      <c r="T16">
        <v>268.04509984831191</v>
      </c>
      <c r="U16">
        <v>225.19583240684855</v>
      </c>
      <c r="V16">
        <v>98.049726781330634</v>
      </c>
      <c r="W16">
        <v>86.995967310010457</v>
      </c>
      <c r="X16">
        <v>123.65720029516936</v>
      </c>
      <c r="Y16">
        <v>109.29293769257397</v>
      </c>
      <c r="Z16">
        <v>3.6626291006367286</v>
      </c>
      <c r="AA16">
        <v>3.7233248969363775</v>
      </c>
      <c r="AB16">
        <v>211.64531659644098</v>
      </c>
      <c r="AC16" t="s">
        <v>62</v>
      </c>
      <c r="AD16">
        <v>75</v>
      </c>
    </row>
    <row r="17" spans="1:30" x14ac:dyDescent="0.3">
      <c r="A17">
        <v>99</v>
      </c>
      <c r="B17" t="s">
        <v>68</v>
      </c>
      <c r="C17" t="s">
        <v>69</v>
      </c>
      <c r="D17" t="s">
        <v>70</v>
      </c>
      <c r="E17">
        <v>85</v>
      </c>
      <c r="F17">
        <v>95</v>
      </c>
      <c r="G17">
        <v>80</v>
      </c>
      <c r="H17">
        <v>105</v>
      </c>
      <c r="I17">
        <v>90</v>
      </c>
      <c r="J17">
        <v>125</v>
      </c>
      <c r="K17">
        <v>311</v>
      </c>
      <c r="L17">
        <v>226</v>
      </c>
      <c r="M17">
        <v>196</v>
      </c>
      <c r="N17">
        <v>246</v>
      </c>
      <c r="O17">
        <v>216</v>
      </c>
      <c r="P17">
        <v>0.97201946472019463</v>
      </c>
      <c r="Q17">
        <v>799</v>
      </c>
      <c r="R17">
        <v>60956</v>
      </c>
      <c r="S17">
        <v>67176</v>
      </c>
      <c r="T17">
        <v>340.44346399944561</v>
      </c>
      <c r="U17">
        <v>381.41534309145641</v>
      </c>
      <c r="V17">
        <v>118.14493003409137</v>
      </c>
      <c r="W17">
        <v>135.15425966033285</v>
      </c>
      <c r="X17">
        <v>156.28831058977366</v>
      </c>
      <c r="Y17">
        <v>177.18481548278731</v>
      </c>
      <c r="Z17">
        <v>6.326421559206997</v>
      </c>
      <c r="AA17">
        <v>-5.5525853661732816</v>
      </c>
      <c r="AB17">
        <v>320.86258301358612</v>
      </c>
      <c r="AC17" t="s">
        <v>35</v>
      </c>
      <c r="AD17">
        <v>65</v>
      </c>
    </row>
    <row r="18" spans="1:30" x14ac:dyDescent="0.3">
      <c r="A18">
        <v>98</v>
      </c>
      <c r="B18" t="s">
        <v>71</v>
      </c>
      <c r="C18" t="s">
        <v>69</v>
      </c>
      <c r="D18" t="s">
        <v>70</v>
      </c>
      <c r="E18">
        <v>55</v>
      </c>
      <c r="F18">
        <v>65</v>
      </c>
      <c r="G18">
        <v>55</v>
      </c>
      <c r="H18">
        <v>70</v>
      </c>
      <c r="I18">
        <v>60</v>
      </c>
      <c r="J18">
        <v>100</v>
      </c>
      <c r="K18">
        <v>251</v>
      </c>
      <c r="L18">
        <v>166</v>
      </c>
      <c r="M18">
        <v>146</v>
      </c>
      <c r="N18">
        <v>176</v>
      </c>
      <c r="O18">
        <v>156</v>
      </c>
      <c r="P18">
        <v>0.86496350364963503</v>
      </c>
      <c r="Q18">
        <v>711</v>
      </c>
      <c r="R18">
        <v>36646</v>
      </c>
      <c r="S18">
        <v>39156</v>
      </c>
      <c r="T18">
        <v>211.98337950138503</v>
      </c>
      <c r="U18">
        <v>227.53133369932291</v>
      </c>
      <c r="V18">
        <v>61.929234858646737</v>
      </c>
      <c r="W18">
        <v>69.426283447179742</v>
      </c>
      <c r="X18">
        <v>98.389278824913504</v>
      </c>
      <c r="Y18">
        <v>110.30792978692047</v>
      </c>
      <c r="Z18">
        <v>6.1400706441886168</v>
      </c>
      <c r="AA18">
        <v>-2.8440827267259392</v>
      </c>
      <c r="AB18">
        <v>161.20740785592926</v>
      </c>
      <c r="AC18" t="s">
        <v>37</v>
      </c>
      <c r="AD18">
        <v>80</v>
      </c>
    </row>
    <row r="19" spans="1:30" x14ac:dyDescent="0.3">
      <c r="A19">
        <v>97</v>
      </c>
      <c r="B19" t="s">
        <v>72</v>
      </c>
      <c r="C19" t="s">
        <v>73</v>
      </c>
      <c r="D19" t="s">
        <v>74</v>
      </c>
      <c r="E19">
        <v>75</v>
      </c>
      <c r="F19">
        <v>85</v>
      </c>
      <c r="G19">
        <v>75</v>
      </c>
      <c r="H19">
        <v>110</v>
      </c>
      <c r="I19">
        <v>75</v>
      </c>
      <c r="J19">
        <v>110</v>
      </c>
      <c r="K19">
        <v>291</v>
      </c>
      <c r="L19">
        <v>206</v>
      </c>
      <c r="M19">
        <v>186</v>
      </c>
      <c r="N19">
        <v>256</v>
      </c>
      <c r="O19">
        <v>186</v>
      </c>
      <c r="P19">
        <v>0.92822384428223847</v>
      </c>
      <c r="Q19">
        <v>763</v>
      </c>
      <c r="R19">
        <v>54126</v>
      </c>
      <c r="S19">
        <v>54126</v>
      </c>
      <c r="T19">
        <v>290.56353528605882</v>
      </c>
      <c r="U19">
        <v>385.51415081098378</v>
      </c>
      <c r="V19">
        <v>102.35088651092039</v>
      </c>
      <c r="W19">
        <v>104.54219365099495</v>
      </c>
      <c r="X19">
        <v>133.80662230278719</v>
      </c>
      <c r="Y19">
        <v>178.9661278909509</v>
      </c>
      <c r="Z19">
        <v>11.580565422986153</v>
      </c>
      <c r="AA19">
        <v>-6.9361203404629252</v>
      </c>
      <c r="AB19">
        <v>277.43717957266176</v>
      </c>
      <c r="AC19" t="s">
        <v>56</v>
      </c>
      <c r="AD19">
        <v>70</v>
      </c>
    </row>
    <row r="20" spans="1:30" x14ac:dyDescent="0.3">
      <c r="A20">
        <v>96</v>
      </c>
      <c r="B20" t="s">
        <v>75</v>
      </c>
      <c r="C20" t="s">
        <v>73</v>
      </c>
      <c r="D20" t="s">
        <v>74</v>
      </c>
      <c r="E20">
        <v>50</v>
      </c>
      <c r="F20">
        <v>60</v>
      </c>
      <c r="G20">
        <v>50</v>
      </c>
      <c r="H20">
        <v>80</v>
      </c>
      <c r="I20">
        <v>50</v>
      </c>
      <c r="J20">
        <v>90</v>
      </c>
      <c r="K20">
        <v>241</v>
      </c>
      <c r="L20">
        <v>156</v>
      </c>
      <c r="M20">
        <v>136</v>
      </c>
      <c r="N20">
        <v>196</v>
      </c>
      <c r="O20">
        <v>136</v>
      </c>
      <c r="P20">
        <v>0.76034063260340634</v>
      </c>
      <c r="Q20">
        <v>625</v>
      </c>
      <c r="R20">
        <v>32776</v>
      </c>
      <c r="S20">
        <v>32776</v>
      </c>
      <c r="T20">
        <v>184.00987463091144</v>
      </c>
      <c r="U20">
        <v>239.29794439382528</v>
      </c>
      <c r="V20">
        <v>52.980047679339009</v>
      </c>
      <c r="W20">
        <v>54.460384509281212</v>
      </c>
      <c r="X20">
        <v>85.781169049814665</v>
      </c>
      <c r="Y20">
        <v>115.4216143182271</v>
      </c>
      <c r="Z20">
        <v>9.3969405795259444</v>
      </c>
      <c r="AA20">
        <v>-4.5586860559794102</v>
      </c>
      <c r="AB20">
        <v>140.88194014035531</v>
      </c>
      <c r="AC20" t="s">
        <v>58</v>
      </c>
      <c r="AD20">
        <v>80</v>
      </c>
    </row>
    <row r="21" spans="1:30" x14ac:dyDescent="0.3">
      <c r="A21">
        <v>95</v>
      </c>
      <c r="B21" t="s">
        <v>76</v>
      </c>
      <c r="C21" t="s">
        <v>61</v>
      </c>
      <c r="D21" t="s">
        <v>77</v>
      </c>
      <c r="E21">
        <v>85</v>
      </c>
      <c r="F21">
        <v>65</v>
      </c>
      <c r="G21">
        <v>95</v>
      </c>
      <c r="H21">
        <v>130</v>
      </c>
      <c r="I21">
        <v>110</v>
      </c>
      <c r="J21">
        <v>115</v>
      </c>
      <c r="K21">
        <v>311</v>
      </c>
      <c r="L21">
        <v>166</v>
      </c>
      <c r="M21">
        <v>226</v>
      </c>
      <c r="N21">
        <v>296</v>
      </c>
      <c r="O21">
        <v>256</v>
      </c>
      <c r="P21">
        <v>0.95133819951338194</v>
      </c>
      <c r="Q21">
        <v>782</v>
      </c>
      <c r="R21">
        <v>70286</v>
      </c>
      <c r="S21">
        <v>79616</v>
      </c>
      <c r="T21">
        <v>224.79331742243434</v>
      </c>
      <c r="U21">
        <v>480.18299572201602</v>
      </c>
      <c r="V21">
        <v>139.72010222606582</v>
      </c>
      <c r="W21">
        <v>164.33541683705033</v>
      </c>
      <c r="X21">
        <v>104.16292443237781</v>
      </c>
      <c r="Y21">
        <v>220.10852822925725</v>
      </c>
      <c r="Z21">
        <v>8.5554377207459797</v>
      </c>
      <c r="AA21">
        <v>-20.589877745889513</v>
      </c>
      <c r="AB21">
        <v>347.75309424739424</v>
      </c>
      <c r="AC21" t="s">
        <v>35</v>
      </c>
      <c r="AD21">
        <v>65</v>
      </c>
    </row>
    <row r="22" spans="1:30" x14ac:dyDescent="0.3">
      <c r="A22">
        <v>94</v>
      </c>
      <c r="B22" t="s">
        <v>78</v>
      </c>
      <c r="C22" t="s">
        <v>61</v>
      </c>
      <c r="E22">
        <v>60</v>
      </c>
      <c r="F22">
        <v>50</v>
      </c>
      <c r="G22">
        <v>70</v>
      </c>
      <c r="H22">
        <v>90</v>
      </c>
      <c r="I22">
        <v>80</v>
      </c>
      <c r="J22">
        <v>100</v>
      </c>
      <c r="K22">
        <v>261</v>
      </c>
      <c r="L22">
        <v>136</v>
      </c>
      <c r="M22">
        <v>176</v>
      </c>
      <c r="N22">
        <v>216</v>
      </c>
      <c r="O22">
        <v>196</v>
      </c>
      <c r="P22">
        <v>0.86496350364963503</v>
      </c>
      <c r="Q22">
        <v>711</v>
      </c>
      <c r="R22">
        <v>45936</v>
      </c>
      <c r="S22">
        <v>51156</v>
      </c>
      <c r="T22">
        <v>167.15325664044738</v>
      </c>
      <c r="U22">
        <v>292.67252797817622</v>
      </c>
      <c r="V22">
        <v>83.411908991920328</v>
      </c>
      <c r="W22">
        <v>97.575309662662875</v>
      </c>
      <c r="X22">
        <v>78.183619474072898</v>
      </c>
      <c r="Y22">
        <v>138.61782514958853</v>
      </c>
      <c r="Z22">
        <v>6.1661633113892815</v>
      </c>
      <c r="AA22">
        <v>-10.927330386022263</v>
      </c>
      <c r="AB22">
        <v>198.56901775294421</v>
      </c>
      <c r="AC22" t="s">
        <v>37</v>
      </c>
      <c r="AD22">
        <v>80</v>
      </c>
    </row>
    <row r="23" spans="1:30" x14ac:dyDescent="0.3">
      <c r="A23">
        <v>93</v>
      </c>
      <c r="B23" t="s">
        <v>79</v>
      </c>
      <c r="C23" t="s">
        <v>73</v>
      </c>
      <c r="D23" t="s">
        <v>64</v>
      </c>
      <c r="E23">
        <v>90</v>
      </c>
      <c r="F23">
        <v>115</v>
      </c>
      <c r="G23">
        <v>80</v>
      </c>
      <c r="H23">
        <v>95</v>
      </c>
      <c r="I23">
        <v>80</v>
      </c>
      <c r="J23">
        <v>100</v>
      </c>
      <c r="K23">
        <v>321</v>
      </c>
      <c r="L23">
        <v>266</v>
      </c>
      <c r="M23">
        <v>196</v>
      </c>
      <c r="N23">
        <v>226</v>
      </c>
      <c r="O23">
        <v>196</v>
      </c>
      <c r="P23">
        <v>0.86496350364963503</v>
      </c>
      <c r="Q23">
        <v>711</v>
      </c>
      <c r="R23">
        <v>62916</v>
      </c>
      <c r="S23">
        <v>62916</v>
      </c>
      <c r="T23">
        <v>380.53638953638955</v>
      </c>
      <c r="U23">
        <v>309.68176158332784</v>
      </c>
      <c r="V23">
        <v>122.67733491043327</v>
      </c>
      <c r="W23">
        <v>125.16135535383633</v>
      </c>
      <c r="X23">
        <v>174.35883870969511</v>
      </c>
      <c r="Y23">
        <v>146.00991595927971</v>
      </c>
      <c r="Z23">
        <v>7.4888834622680678</v>
      </c>
      <c r="AA23">
        <v>3.788785548949321</v>
      </c>
      <c r="AB23">
        <v>308.84903468301434</v>
      </c>
      <c r="AC23" t="s">
        <v>35</v>
      </c>
      <c r="AD23">
        <v>65</v>
      </c>
    </row>
    <row r="24" spans="1:30" x14ac:dyDescent="0.3">
      <c r="A24">
        <v>92</v>
      </c>
      <c r="B24" t="s">
        <v>80</v>
      </c>
      <c r="C24" t="s">
        <v>65</v>
      </c>
      <c r="D24" t="s">
        <v>70</v>
      </c>
      <c r="E24">
        <v>80</v>
      </c>
      <c r="F24">
        <v>70</v>
      </c>
      <c r="G24">
        <v>65</v>
      </c>
      <c r="H24">
        <v>105</v>
      </c>
      <c r="I24">
        <v>75</v>
      </c>
      <c r="J24">
        <v>90</v>
      </c>
      <c r="K24">
        <v>301</v>
      </c>
      <c r="L24">
        <v>176</v>
      </c>
      <c r="M24">
        <v>166</v>
      </c>
      <c r="N24">
        <v>246</v>
      </c>
      <c r="O24">
        <v>186</v>
      </c>
      <c r="P24">
        <v>0.76034063260340634</v>
      </c>
      <c r="Q24">
        <v>625</v>
      </c>
      <c r="R24">
        <v>49966</v>
      </c>
      <c r="S24">
        <v>55986</v>
      </c>
      <c r="T24">
        <v>211.27849239759237</v>
      </c>
      <c r="U24">
        <v>312.48198114951026</v>
      </c>
      <c r="V24">
        <v>92.731088406031461</v>
      </c>
      <c r="W24">
        <v>108.90529271439483</v>
      </c>
      <c r="X24">
        <v>98.071574839487994</v>
      </c>
      <c r="Y24">
        <v>147.22687127900824</v>
      </c>
      <c r="Z24">
        <v>5.7248325600906433</v>
      </c>
      <c r="AA24">
        <v>-9.5697043590436977</v>
      </c>
      <c r="AB24">
        <v>230.37208394669051</v>
      </c>
      <c r="AC24" t="s">
        <v>62</v>
      </c>
      <c r="AD24">
        <v>75</v>
      </c>
    </row>
    <row r="25" spans="1:30" x14ac:dyDescent="0.3">
      <c r="A25">
        <v>91</v>
      </c>
      <c r="B25" t="s">
        <v>81</v>
      </c>
      <c r="C25" t="s">
        <v>64</v>
      </c>
      <c r="D25" t="s">
        <v>82</v>
      </c>
      <c r="E25">
        <v>85</v>
      </c>
      <c r="F25">
        <v>105</v>
      </c>
      <c r="G25">
        <v>100</v>
      </c>
      <c r="H25">
        <v>75</v>
      </c>
      <c r="I25">
        <v>80</v>
      </c>
      <c r="J25">
        <v>90</v>
      </c>
      <c r="K25">
        <v>311</v>
      </c>
      <c r="L25">
        <v>246</v>
      </c>
      <c r="M25">
        <v>236</v>
      </c>
      <c r="N25">
        <v>186</v>
      </c>
      <c r="O25">
        <v>196</v>
      </c>
      <c r="P25">
        <v>0.76034063260340634</v>
      </c>
      <c r="Q25">
        <v>625</v>
      </c>
      <c r="R25">
        <v>73396</v>
      </c>
      <c r="S25">
        <v>60956</v>
      </c>
      <c r="T25">
        <v>312.48198114951026</v>
      </c>
      <c r="U25">
        <v>225.19583240684855</v>
      </c>
      <c r="V25">
        <v>146.91182629005729</v>
      </c>
      <c r="W25">
        <v>120.5636810719741</v>
      </c>
      <c r="X25">
        <v>143.68561933321106</v>
      </c>
      <c r="Y25">
        <v>109.29293769257397</v>
      </c>
      <c r="Z25">
        <v>-1.0141385820254722</v>
      </c>
      <c r="AA25">
        <v>8.8975386143700916</v>
      </c>
      <c r="AB25">
        <v>277.94725517329465</v>
      </c>
      <c r="AC25" t="s">
        <v>56</v>
      </c>
      <c r="AD25">
        <v>70</v>
      </c>
    </row>
    <row r="26" spans="1:30" x14ac:dyDescent="0.3">
      <c r="A26">
        <v>90</v>
      </c>
      <c r="B26" t="s">
        <v>83</v>
      </c>
      <c r="C26" t="s">
        <v>64</v>
      </c>
      <c r="E26">
        <v>58</v>
      </c>
      <c r="F26">
        <v>70</v>
      </c>
      <c r="G26">
        <v>55</v>
      </c>
      <c r="H26">
        <v>60</v>
      </c>
      <c r="I26">
        <v>50</v>
      </c>
      <c r="J26">
        <v>62</v>
      </c>
      <c r="K26">
        <v>257</v>
      </c>
      <c r="L26">
        <v>176</v>
      </c>
      <c r="M26">
        <v>146</v>
      </c>
      <c r="N26">
        <v>156</v>
      </c>
      <c r="O26">
        <v>136</v>
      </c>
      <c r="P26">
        <v>0.4489051094890511</v>
      </c>
      <c r="Q26">
        <v>369</v>
      </c>
      <c r="R26">
        <v>37522</v>
      </c>
      <c r="S26">
        <v>34952</v>
      </c>
      <c r="T26">
        <v>169.81743010706697</v>
      </c>
      <c r="U26">
        <v>151.03585738638847</v>
      </c>
      <c r="V26">
        <v>63.954942344195459</v>
      </c>
      <c r="W26">
        <v>59.564741263022157</v>
      </c>
      <c r="X26">
        <v>79.384405420724164</v>
      </c>
      <c r="Y26">
        <v>77.063544968516297</v>
      </c>
      <c r="Z26">
        <v>2.0117753244285566</v>
      </c>
      <c r="AA26">
        <v>0.98306085420205513</v>
      </c>
      <c r="AB26">
        <v>122.3256308578443</v>
      </c>
      <c r="AC26" t="s">
        <v>58</v>
      </c>
      <c r="AD26">
        <v>80</v>
      </c>
    </row>
    <row r="27" spans="1:30" x14ac:dyDescent="0.3">
      <c r="A27">
        <v>89</v>
      </c>
      <c r="B27" t="s">
        <v>84</v>
      </c>
      <c r="C27" t="s">
        <v>85</v>
      </c>
      <c r="E27">
        <v>70</v>
      </c>
      <c r="F27">
        <v>60</v>
      </c>
      <c r="G27">
        <v>85</v>
      </c>
      <c r="H27">
        <v>100</v>
      </c>
      <c r="I27">
        <v>85</v>
      </c>
      <c r="J27">
        <v>90</v>
      </c>
      <c r="K27">
        <v>281</v>
      </c>
      <c r="L27">
        <v>156</v>
      </c>
      <c r="M27">
        <v>206</v>
      </c>
      <c r="N27">
        <v>236</v>
      </c>
      <c r="O27">
        <v>206</v>
      </c>
      <c r="P27">
        <v>0.76034063260340634</v>
      </c>
      <c r="Q27">
        <v>625</v>
      </c>
      <c r="R27">
        <v>57886</v>
      </c>
      <c r="S27">
        <v>57886</v>
      </c>
      <c r="T27">
        <v>184.00987463091144</v>
      </c>
      <c r="U27">
        <v>297.49776844451549</v>
      </c>
      <c r="V27">
        <v>111.04570402880077</v>
      </c>
      <c r="W27">
        <v>113.36222186517965</v>
      </c>
      <c r="X27">
        <v>85.781169049814665</v>
      </c>
      <c r="Y27">
        <v>140.71484001420731</v>
      </c>
      <c r="Z27">
        <v>3.945688214082923</v>
      </c>
      <c r="AA27">
        <v>-8.3862171767869587</v>
      </c>
      <c r="AB27">
        <v>232.94054067550059</v>
      </c>
      <c r="AC27" t="s">
        <v>62</v>
      </c>
      <c r="AD27">
        <v>75</v>
      </c>
    </row>
    <row r="28" spans="1:30" x14ac:dyDescent="0.3">
      <c r="A28">
        <v>88</v>
      </c>
      <c r="B28" t="s">
        <v>86</v>
      </c>
      <c r="C28" t="s">
        <v>74</v>
      </c>
      <c r="D28" t="s">
        <v>87</v>
      </c>
      <c r="E28">
        <v>60</v>
      </c>
      <c r="F28">
        <v>80</v>
      </c>
      <c r="G28">
        <v>110</v>
      </c>
      <c r="H28">
        <v>50</v>
      </c>
      <c r="I28">
        <v>105</v>
      </c>
      <c r="J28">
        <v>45</v>
      </c>
      <c r="K28">
        <v>261</v>
      </c>
      <c r="L28">
        <v>196</v>
      </c>
      <c r="M28">
        <v>256</v>
      </c>
      <c r="N28">
        <v>136</v>
      </c>
      <c r="O28">
        <v>246</v>
      </c>
      <c r="P28">
        <v>0.24939172749391728</v>
      </c>
      <c r="Q28">
        <v>205</v>
      </c>
      <c r="R28">
        <v>66816</v>
      </c>
      <c r="S28">
        <v>64206</v>
      </c>
      <c r="T28">
        <v>161.74617259155696</v>
      </c>
      <c r="U28">
        <v>118.07153175450897</v>
      </c>
      <c r="V28">
        <v>131.69589563376664</v>
      </c>
      <c r="W28">
        <v>128.18737567200077</v>
      </c>
      <c r="X28">
        <v>75.746559492949331</v>
      </c>
      <c r="Y28">
        <v>62.737485711073816</v>
      </c>
      <c r="Z28">
        <v>-9.565729037052904</v>
      </c>
      <c r="AA28">
        <v>2.4195575817952135</v>
      </c>
      <c r="AB28">
        <v>198.94347112922003</v>
      </c>
      <c r="AC28" t="s">
        <v>37</v>
      </c>
      <c r="AD28">
        <v>80</v>
      </c>
    </row>
    <row r="29" spans="1:30" x14ac:dyDescent="0.3">
      <c r="A29">
        <v>87</v>
      </c>
      <c r="B29" t="s">
        <v>88</v>
      </c>
      <c r="C29" t="s">
        <v>69</v>
      </c>
      <c r="D29" t="s">
        <v>70</v>
      </c>
      <c r="E29">
        <v>90</v>
      </c>
      <c r="F29">
        <v>95</v>
      </c>
      <c r="G29">
        <v>85</v>
      </c>
      <c r="H29">
        <v>130</v>
      </c>
      <c r="I29">
        <v>100</v>
      </c>
      <c r="J29">
        <v>130</v>
      </c>
      <c r="K29">
        <v>321</v>
      </c>
      <c r="L29">
        <v>226</v>
      </c>
      <c r="M29">
        <v>206</v>
      </c>
      <c r="N29">
        <v>296</v>
      </c>
      <c r="O29">
        <v>236</v>
      </c>
      <c r="P29">
        <v>0.98418491484184911</v>
      </c>
      <c r="Q29">
        <v>809</v>
      </c>
      <c r="R29">
        <v>66126</v>
      </c>
      <c r="S29">
        <v>75756</v>
      </c>
      <c r="T29">
        <v>344.16413034632689</v>
      </c>
      <c r="U29">
        <v>498.16459020575223</v>
      </c>
      <c r="V29">
        <v>130.10030412117689</v>
      </c>
      <c r="W29">
        <v>155.28081340440326</v>
      </c>
      <c r="X29">
        <v>157.96527491566727</v>
      </c>
      <c r="Y29">
        <v>227.92320009586984</v>
      </c>
      <c r="Z29">
        <v>11.291601826806604</v>
      </c>
      <c r="AA29">
        <v>-13.936226062875027</v>
      </c>
      <c r="AB29">
        <v>375.54177401742339</v>
      </c>
      <c r="AC29" t="s">
        <v>66</v>
      </c>
      <c r="AD29">
        <v>60</v>
      </c>
    </row>
    <row r="30" spans="1:30" x14ac:dyDescent="0.3">
      <c r="A30">
        <v>86</v>
      </c>
      <c r="B30" t="s">
        <v>89</v>
      </c>
      <c r="C30" t="s">
        <v>69</v>
      </c>
      <c r="D30" t="s">
        <v>70</v>
      </c>
      <c r="E30">
        <v>65</v>
      </c>
      <c r="F30">
        <v>70</v>
      </c>
      <c r="G30">
        <v>60</v>
      </c>
      <c r="H30">
        <v>105</v>
      </c>
      <c r="I30">
        <v>80</v>
      </c>
      <c r="J30">
        <v>110</v>
      </c>
      <c r="K30">
        <v>271</v>
      </c>
      <c r="L30">
        <v>176</v>
      </c>
      <c r="M30">
        <v>156</v>
      </c>
      <c r="N30">
        <v>246</v>
      </c>
      <c r="O30">
        <v>196</v>
      </c>
      <c r="P30">
        <v>0.92822384428223847</v>
      </c>
      <c r="Q30">
        <v>763</v>
      </c>
      <c r="R30">
        <v>42276</v>
      </c>
      <c r="S30">
        <v>53116</v>
      </c>
      <c r="T30">
        <v>238.03765426128118</v>
      </c>
      <c r="U30">
        <v>365.79188176940988</v>
      </c>
      <c r="V30">
        <v>74.948336620792091</v>
      </c>
      <c r="W30">
        <v>102.17298394452511</v>
      </c>
      <c r="X30">
        <v>110.13236063766442</v>
      </c>
      <c r="Y30">
        <v>170.39497135840026</v>
      </c>
      <c r="Z30">
        <v>10.574621540265614</v>
      </c>
      <c r="AA30">
        <v>-12.81545373965003</v>
      </c>
      <c r="AB30">
        <v>237.30512751426244</v>
      </c>
      <c r="AC30" t="s">
        <v>62</v>
      </c>
      <c r="AD30">
        <v>75</v>
      </c>
    </row>
    <row r="31" spans="1:30" x14ac:dyDescent="0.3">
      <c r="A31">
        <v>85</v>
      </c>
      <c r="B31" t="s">
        <v>90</v>
      </c>
      <c r="C31" t="s">
        <v>55</v>
      </c>
      <c r="D31" t="s">
        <v>91</v>
      </c>
      <c r="E31">
        <v>95</v>
      </c>
      <c r="F31">
        <v>130</v>
      </c>
      <c r="G31">
        <v>120</v>
      </c>
      <c r="H31">
        <v>60</v>
      </c>
      <c r="I31">
        <v>100</v>
      </c>
      <c r="J31">
        <v>90</v>
      </c>
      <c r="K31">
        <v>331</v>
      </c>
      <c r="L31">
        <v>296</v>
      </c>
      <c r="M31">
        <v>276</v>
      </c>
      <c r="N31">
        <v>156</v>
      </c>
      <c r="O31">
        <v>236</v>
      </c>
      <c r="P31">
        <v>0.76034063260340634</v>
      </c>
      <c r="Q31">
        <v>625</v>
      </c>
      <c r="R31">
        <v>91356</v>
      </c>
      <c r="S31">
        <v>78116</v>
      </c>
      <c r="T31">
        <v>389.88008271538803</v>
      </c>
      <c r="U31">
        <v>184.00987463091144</v>
      </c>
      <c r="V31">
        <v>188.4434546467412</v>
      </c>
      <c r="W31">
        <v>160.81678856011496</v>
      </c>
      <c r="X31">
        <v>178.57019191163161</v>
      </c>
      <c r="Y31">
        <v>91.393816131234217</v>
      </c>
      <c r="Z31">
        <v>-2.092278283276614</v>
      </c>
      <c r="AA31">
        <v>16.816769722856378</v>
      </c>
      <c r="AB31">
        <v>341.86261575466489</v>
      </c>
      <c r="AC31" t="s">
        <v>35</v>
      </c>
      <c r="AD31">
        <v>65</v>
      </c>
    </row>
    <row r="32" spans="1:30" x14ac:dyDescent="0.3">
      <c r="A32">
        <v>84</v>
      </c>
      <c r="B32" t="s">
        <v>92</v>
      </c>
      <c r="C32" t="s">
        <v>55</v>
      </c>
      <c r="D32" t="s">
        <v>91</v>
      </c>
      <c r="E32">
        <v>70</v>
      </c>
      <c r="F32">
        <v>95</v>
      </c>
      <c r="G32">
        <v>90</v>
      </c>
      <c r="H32">
        <v>40</v>
      </c>
      <c r="I32">
        <v>80</v>
      </c>
      <c r="J32">
        <v>70</v>
      </c>
      <c r="K32">
        <v>281</v>
      </c>
      <c r="L32">
        <v>226</v>
      </c>
      <c r="M32">
        <v>216</v>
      </c>
      <c r="N32">
        <v>116</v>
      </c>
      <c r="O32">
        <v>196</v>
      </c>
      <c r="P32">
        <v>0.57055961070559613</v>
      </c>
      <c r="Q32">
        <v>469</v>
      </c>
      <c r="R32">
        <v>60696</v>
      </c>
      <c r="S32">
        <v>55076</v>
      </c>
      <c r="T32">
        <v>240.0762731998442</v>
      </c>
      <c r="U32">
        <v>120.08528101591823</v>
      </c>
      <c r="V32">
        <v>117.54369265253584</v>
      </c>
      <c r="W32">
        <v>106.77065822638737</v>
      </c>
      <c r="X32">
        <v>111.05119907017446</v>
      </c>
      <c r="Y32">
        <v>63.612646682687341</v>
      </c>
      <c r="Z32">
        <v>-1.5439240094547495</v>
      </c>
      <c r="AA32">
        <v>8.5270462761855068</v>
      </c>
      <c r="AB32">
        <v>199.33877890892342</v>
      </c>
      <c r="AC32" t="s">
        <v>37</v>
      </c>
      <c r="AD32">
        <v>80</v>
      </c>
    </row>
    <row r="33" spans="1:30" x14ac:dyDescent="0.3">
      <c r="A33">
        <v>83</v>
      </c>
      <c r="B33" t="s">
        <v>93</v>
      </c>
      <c r="C33" t="s">
        <v>85</v>
      </c>
      <c r="D33" t="s">
        <v>70</v>
      </c>
      <c r="E33">
        <v>85</v>
      </c>
      <c r="F33">
        <v>65</v>
      </c>
      <c r="G33">
        <v>70</v>
      </c>
      <c r="H33">
        <v>110</v>
      </c>
      <c r="I33">
        <v>80</v>
      </c>
      <c r="J33">
        <v>130</v>
      </c>
      <c r="K33">
        <v>311</v>
      </c>
      <c r="L33">
        <v>166</v>
      </c>
      <c r="M33">
        <v>176</v>
      </c>
      <c r="N33">
        <v>256</v>
      </c>
      <c r="O33">
        <v>196</v>
      </c>
      <c r="P33">
        <v>0.98418491484184911</v>
      </c>
      <c r="Q33">
        <v>809</v>
      </c>
      <c r="R33">
        <v>54736</v>
      </c>
      <c r="S33">
        <v>60956</v>
      </c>
      <c r="T33">
        <v>229.8955512572534</v>
      </c>
      <c r="U33">
        <v>407.44562181746397</v>
      </c>
      <c r="V33">
        <v>103.76148190610843</v>
      </c>
      <c r="W33">
        <v>120.5636810719741</v>
      </c>
      <c r="X33">
        <v>106.46258350568624</v>
      </c>
      <c r="Y33">
        <v>188.49738773683305</v>
      </c>
      <c r="Z33">
        <v>10.527862955564528</v>
      </c>
      <c r="AA33">
        <v>-14.478005976095696</v>
      </c>
      <c r="AB33">
        <v>277.19082658380103</v>
      </c>
      <c r="AC33" t="s">
        <v>56</v>
      </c>
      <c r="AD33">
        <v>70</v>
      </c>
    </row>
    <row r="34" spans="1:30" x14ac:dyDescent="0.3">
      <c r="A34">
        <v>82</v>
      </c>
      <c r="B34" t="s">
        <v>94</v>
      </c>
      <c r="C34" t="s">
        <v>85</v>
      </c>
      <c r="D34" t="s">
        <v>70</v>
      </c>
      <c r="E34">
        <v>65</v>
      </c>
      <c r="F34">
        <v>45</v>
      </c>
      <c r="G34">
        <v>50</v>
      </c>
      <c r="H34">
        <v>80</v>
      </c>
      <c r="I34">
        <v>60</v>
      </c>
      <c r="J34">
        <v>100</v>
      </c>
      <c r="K34">
        <v>271</v>
      </c>
      <c r="L34">
        <v>126</v>
      </c>
      <c r="M34">
        <v>136</v>
      </c>
      <c r="N34">
        <v>196</v>
      </c>
      <c r="O34">
        <v>156</v>
      </c>
      <c r="P34">
        <v>0.86496350364963503</v>
      </c>
      <c r="Q34">
        <v>711</v>
      </c>
      <c r="R34">
        <v>36856</v>
      </c>
      <c r="S34">
        <v>42276</v>
      </c>
      <c r="T34">
        <v>152.823911060048</v>
      </c>
      <c r="U34">
        <v>259.51746829582839</v>
      </c>
      <c r="V34">
        <v>62.414849666826228</v>
      </c>
      <c r="W34">
        <v>76.745030263205351</v>
      </c>
      <c r="X34">
        <v>71.725152330983576</v>
      </c>
      <c r="Y34">
        <v>124.20887424315752</v>
      </c>
      <c r="Z34">
        <v>7.2076904798156933</v>
      </c>
      <c r="AA34">
        <v>-9.7871449614825714</v>
      </c>
      <c r="AB34">
        <v>157.99849629206369</v>
      </c>
      <c r="AC34" t="s">
        <v>37</v>
      </c>
      <c r="AD34">
        <v>80</v>
      </c>
    </row>
    <row r="35" spans="1:30" x14ac:dyDescent="0.3">
      <c r="A35">
        <v>81</v>
      </c>
      <c r="B35" t="s">
        <v>95</v>
      </c>
      <c r="C35" t="s">
        <v>53</v>
      </c>
      <c r="D35" t="s">
        <v>65</v>
      </c>
      <c r="E35">
        <v>90</v>
      </c>
      <c r="F35">
        <v>70</v>
      </c>
      <c r="G35">
        <v>100</v>
      </c>
      <c r="H35">
        <v>120</v>
      </c>
      <c r="I35">
        <v>100</v>
      </c>
      <c r="J35">
        <v>50</v>
      </c>
      <c r="K35">
        <v>321</v>
      </c>
      <c r="L35">
        <v>176</v>
      </c>
      <c r="M35">
        <v>236</v>
      </c>
      <c r="N35">
        <v>276</v>
      </c>
      <c r="O35">
        <v>236</v>
      </c>
      <c r="P35">
        <v>0.31995133819951338</v>
      </c>
      <c r="Q35">
        <v>263</v>
      </c>
      <c r="R35">
        <v>75756</v>
      </c>
      <c r="S35">
        <v>75756</v>
      </c>
      <c r="T35">
        <v>155.13855758860925</v>
      </c>
      <c r="U35">
        <v>230.48635686516732</v>
      </c>
      <c r="V35">
        <v>152.36921175340774</v>
      </c>
      <c r="W35">
        <v>155.28081340440326</v>
      </c>
      <c r="X35">
        <v>72.768400849815237</v>
      </c>
      <c r="Y35">
        <v>111.59216163967409</v>
      </c>
      <c r="Z35">
        <v>-7.5770695415816958</v>
      </c>
      <c r="AA35">
        <v>-6.1135486312353517</v>
      </c>
      <c r="AB35">
        <v>259.54114367530087</v>
      </c>
      <c r="AC35" t="s">
        <v>56</v>
      </c>
      <c r="AD35">
        <v>70</v>
      </c>
    </row>
    <row r="36" spans="1:30" x14ac:dyDescent="0.3">
      <c r="A36">
        <v>80</v>
      </c>
      <c r="B36" t="s">
        <v>96</v>
      </c>
      <c r="C36" t="s">
        <v>53</v>
      </c>
      <c r="D36" t="s">
        <v>65</v>
      </c>
      <c r="E36">
        <v>70</v>
      </c>
      <c r="F36">
        <v>50</v>
      </c>
      <c r="G36">
        <v>70</v>
      </c>
      <c r="H36">
        <v>95</v>
      </c>
      <c r="I36">
        <v>80</v>
      </c>
      <c r="J36">
        <v>40</v>
      </c>
      <c r="K36">
        <v>281</v>
      </c>
      <c r="L36">
        <v>136</v>
      </c>
      <c r="M36">
        <v>176</v>
      </c>
      <c r="N36">
        <v>226</v>
      </c>
      <c r="O36">
        <v>196</v>
      </c>
      <c r="P36">
        <v>0.19343065693430658</v>
      </c>
      <c r="Q36">
        <v>159</v>
      </c>
      <c r="R36">
        <v>49456</v>
      </c>
      <c r="S36">
        <v>55076</v>
      </c>
      <c r="T36">
        <v>114.38621092608822</v>
      </c>
      <c r="U36">
        <v>173.56826514151638</v>
      </c>
      <c r="V36">
        <v>91.551738157595565</v>
      </c>
      <c r="W36">
        <v>106.77065822638737</v>
      </c>
      <c r="X36">
        <v>54.400660994081917</v>
      </c>
      <c r="Y36">
        <v>86.855967611030209</v>
      </c>
      <c r="Z36">
        <v>-3.7209786306315231</v>
      </c>
      <c r="AA36">
        <v>-6.9834952005713005</v>
      </c>
      <c r="AB36">
        <v>160.90086971386137</v>
      </c>
      <c r="AC36" t="s">
        <v>37</v>
      </c>
      <c r="AD36">
        <v>80</v>
      </c>
    </row>
    <row r="37" spans="1:30" x14ac:dyDescent="0.3">
      <c r="A37">
        <v>79</v>
      </c>
      <c r="B37" t="s">
        <v>97</v>
      </c>
      <c r="C37" t="s">
        <v>64</v>
      </c>
      <c r="D37" t="s">
        <v>98</v>
      </c>
      <c r="E37">
        <v>95</v>
      </c>
      <c r="F37">
        <v>130</v>
      </c>
      <c r="G37">
        <v>80</v>
      </c>
      <c r="H37">
        <v>90</v>
      </c>
      <c r="I37">
        <v>80</v>
      </c>
      <c r="J37">
        <v>100</v>
      </c>
      <c r="K37">
        <v>331</v>
      </c>
      <c r="L37">
        <v>296</v>
      </c>
      <c r="M37">
        <v>196</v>
      </c>
      <c r="N37">
        <v>216</v>
      </c>
      <c r="O37">
        <v>196</v>
      </c>
      <c r="P37">
        <v>0.86496350364963503</v>
      </c>
      <c r="Q37">
        <v>711</v>
      </c>
      <c r="R37">
        <v>64876</v>
      </c>
      <c r="S37">
        <v>64876</v>
      </c>
      <c r="T37">
        <v>436.56568962474535</v>
      </c>
      <c r="U37">
        <v>292.67252797817622</v>
      </c>
      <c r="V37">
        <v>127.20973978677517</v>
      </c>
      <c r="W37">
        <v>129.7590296356986</v>
      </c>
      <c r="X37">
        <v>199.61214784657</v>
      </c>
      <c r="Y37">
        <v>138.61782514958853</v>
      </c>
      <c r="Z37">
        <v>10.839187827782844</v>
      </c>
      <c r="AA37">
        <v>8.5612423056613078</v>
      </c>
      <c r="AB37">
        <v>326.3154237438107</v>
      </c>
      <c r="AC37" t="s">
        <v>35</v>
      </c>
      <c r="AD37">
        <v>65</v>
      </c>
    </row>
    <row r="38" spans="1:30" x14ac:dyDescent="0.3">
      <c r="A38">
        <v>78</v>
      </c>
      <c r="B38" t="s">
        <v>99</v>
      </c>
      <c r="C38" t="s">
        <v>64</v>
      </c>
      <c r="D38" t="s">
        <v>98</v>
      </c>
      <c r="E38">
        <v>75</v>
      </c>
      <c r="F38">
        <v>100</v>
      </c>
      <c r="G38">
        <v>60</v>
      </c>
      <c r="H38">
        <v>70</v>
      </c>
      <c r="I38">
        <v>60</v>
      </c>
      <c r="J38">
        <v>80</v>
      </c>
      <c r="K38">
        <v>291</v>
      </c>
      <c r="L38">
        <v>236</v>
      </c>
      <c r="M38">
        <v>156</v>
      </c>
      <c r="N38">
        <v>176</v>
      </c>
      <c r="O38">
        <v>156</v>
      </c>
      <c r="P38">
        <v>0.66423357664233573</v>
      </c>
      <c r="Q38">
        <v>546</v>
      </c>
      <c r="R38">
        <v>45396</v>
      </c>
      <c r="S38">
        <v>45396</v>
      </c>
      <c r="T38">
        <v>273.01496064155003</v>
      </c>
      <c r="U38">
        <v>197.4611014457052</v>
      </c>
      <c r="V38">
        <v>82.163185199458781</v>
      </c>
      <c r="W38">
        <v>84.063777079230974</v>
      </c>
      <c r="X38">
        <v>125.89719670385124</v>
      </c>
      <c r="Y38">
        <v>97.239622733983992</v>
      </c>
      <c r="Z38">
        <v>6.2944464459344749</v>
      </c>
      <c r="AA38">
        <v>3.9194606603622617</v>
      </c>
      <c r="AB38">
        <v>193.11717686875602</v>
      </c>
      <c r="AC38" t="s">
        <v>37</v>
      </c>
      <c r="AD38">
        <v>80</v>
      </c>
    </row>
    <row r="39" spans="1:30" x14ac:dyDescent="0.3">
      <c r="A39">
        <v>77</v>
      </c>
      <c r="B39" t="s">
        <v>100</v>
      </c>
      <c r="C39" t="s">
        <v>64</v>
      </c>
      <c r="D39" t="s">
        <v>98</v>
      </c>
      <c r="E39">
        <v>50</v>
      </c>
      <c r="F39">
        <v>65</v>
      </c>
      <c r="G39">
        <v>40</v>
      </c>
      <c r="H39">
        <v>50</v>
      </c>
      <c r="I39">
        <v>40</v>
      </c>
      <c r="J39">
        <v>60</v>
      </c>
      <c r="K39">
        <v>241</v>
      </c>
      <c r="L39">
        <v>166</v>
      </c>
      <c r="M39">
        <v>116</v>
      </c>
      <c r="N39">
        <v>136</v>
      </c>
      <c r="O39">
        <v>116</v>
      </c>
      <c r="P39">
        <v>0.44525547445255476</v>
      </c>
      <c r="Q39">
        <v>366</v>
      </c>
      <c r="R39">
        <v>27956</v>
      </c>
      <c r="S39">
        <v>27956</v>
      </c>
      <c r="T39">
        <v>160.05017921146953</v>
      </c>
      <c r="U39">
        <v>131.87087556369156</v>
      </c>
      <c r="V39">
        <v>41.834031605885983</v>
      </c>
      <c r="W39">
        <v>43.153858979395494</v>
      </c>
      <c r="X39">
        <v>74.98214792518209</v>
      </c>
      <c r="Y39">
        <v>68.73458146033397</v>
      </c>
      <c r="Z39">
        <v>4.6716334350476316</v>
      </c>
      <c r="AA39">
        <v>0.72183325638135687</v>
      </c>
      <c r="AB39">
        <v>89.152725854445507</v>
      </c>
      <c r="AC39" t="s">
        <v>101</v>
      </c>
      <c r="AD39">
        <v>80</v>
      </c>
    </row>
    <row r="40" spans="1:30" x14ac:dyDescent="0.3">
      <c r="A40">
        <v>76</v>
      </c>
      <c r="B40" t="s">
        <v>102</v>
      </c>
      <c r="C40" t="s">
        <v>52</v>
      </c>
      <c r="E40">
        <v>75</v>
      </c>
      <c r="F40">
        <v>100</v>
      </c>
      <c r="G40">
        <v>65</v>
      </c>
      <c r="H40">
        <v>100</v>
      </c>
      <c r="I40">
        <v>65</v>
      </c>
      <c r="J40">
        <v>95</v>
      </c>
      <c r="K40">
        <v>291</v>
      </c>
      <c r="L40">
        <v>236</v>
      </c>
      <c r="M40">
        <v>166</v>
      </c>
      <c r="N40">
        <v>236</v>
      </c>
      <c r="O40">
        <v>166</v>
      </c>
      <c r="P40">
        <v>0.80900243309002429</v>
      </c>
      <c r="Q40">
        <v>665</v>
      </c>
      <c r="R40">
        <v>48306</v>
      </c>
      <c r="S40">
        <v>48306</v>
      </c>
      <c r="T40">
        <v>310.81468710832348</v>
      </c>
      <c r="U40">
        <v>310.81468710832348</v>
      </c>
      <c r="V40">
        <v>88.892418969945979</v>
      </c>
      <c r="W40">
        <v>90.889915936485622</v>
      </c>
      <c r="X40">
        <v>142.9341430203219</v>
      </c>
      <c r="Y40">
        <v>146.50227725878284</v>
      </c>
      <c r="Z40">
        <v>8.5293643676510218</v>
      </c>
      <c r="AA40">
        <v>-0.81527402771479418</v>
      </c>
      <c r="AB40">
        <v>244.79227829003474</v>
      </c>
      <c r="AC40" t="s">
        <v>62</v>
      </c>
      <c r="AD40">
        <v>75</v>
      </c>
    </row>
    <row r="41" spans="1:30" x14ac:dyDescent="0.3">
      <c r="A41">
        <v>75</v>
      </c>
      <c r="B41" t="s">
        <v>103</v>
      </c>
      <c r="C41" t="s">
        <v>98</v>
      </c>
      <c r="D41" t="s">
        <v>61</v>
      </c>
      <c r="E41">
        <v>60</v>
      </c>
      <c r="F41">
        <v>60</v>
      </c>
      <c r="G41">
        <v>60</v>
      </c>
      <c r="H41">
        <v>60</v>
      </c>
      <c r="I41">
        <v>60</v>
      </c>
      <c r="J41">
        <v>60</v>
      </c>
      <c r="K41">
        <v>261</v>
      </c>
      <c r="L41">
        <v>156</v>
      </c>
      <c r="M41">
        <v>156</v>
      </c>
      <c r="N41">
        <v>156</v>
      </c>
      <c r="O41">
        <v>156</v>
      </c>
      <c r="P41">
        <v>0.44525547445255476</v>
      </c>
      <c r="Q41">
        <v>366</v>
      </c>
      <c r="R41">
        <v>40716</v>
      </c>
      <c r="S41">
        <v>40716</v>
      </c>
      <c r="T41">
        <v>150.68731353058462</v>
      </c>
      <c r="U41">
        <v>150.68731353058462</v>
      </c>
      <c r="V41">
        <v>71.340912331458739</v>
      </c>
      <c r="W41">
        <v>73.085656855192553</v>
      </c>
      <c r="X41">
        <v>70.762153367449585</v>
      </c>
      <c r="Y41">
        <v>76.912070311099541</v>
      </c>
      <c r="Z41">
        <v>0.12978292525425561</v>
      </c>
      <c r="AA41">
        <v>-1.1564389042119576</v>
      </c>
      <c r="AB41">
        <v>130.17714201445443</v>
      </c>
      <c r="AC41" t="s">
        <v>58</v>
      </c>
      <c r="AD41">
        <v>80</v>
      </c>
    </row>
    <row r="42" spans="1:30" x14ac:dyDescent="0.3">
      <c r="A42">
        <v>74</v>
      </c>
      <c r="B42" t="s">
        <v>104</v>
      </c>
      <c r="C42" t="s">
        <v>55</v>
      </c>
      <c r="D42" t="s">
        <v>53</v>
      </c>
      <c r="E42">
        <v>85</v>
      </c>
      <c r="F42">
        <v>120</v>
      </c>
      <c r="G42">
        <v>90</v>
      </c>
      <c r="H42">
        <v>70</v>
      </c>
      <c r="I42">
        <v>85</v>
      </c>
      <c r="J42">
        <v>70</v>
      </c>
      <c r="K42">
        <v>311</v>
      </c>
      <c r="L42">
        <v>276</v>
      </c>
      <c r="M42">
        <v>216</v>
      </c>
      <c r="N42">
        <v>176</v>
      </c>
      <c r="O42">
        <v>206</v>
      </c>
      <c r="P42">
        <v>0.57055961070559613</v>
      </c>
      <c r="Q42">
        <v>469</v>
      </c>
      <c r="R42">
        <v>67176</v>
      </c>
      <c r="S42">
        <v>64066</v>
      </c>
      <c r="T42">
        <v>296.14879673840176</v>
      </c>
      <c r="U42">
        <v>184.91046426853279</v>
      </c>
      <c r="V42">
        <v>132.52837816207435</v>
      </c>
      <c r="W42">
        <v>127.85897036615346</v>
      </c>
      <c r="X42">
        <v>136.32398971312182</v>
      </c>
      <c r="Y42">
        <v>91.785205922103316</v>
      </c>
      <c r="Z42">
        <v>0.12478691534987041</v>
      </c>
      <c r="AA42">
        <v>7.2081959932235788</v>
      </c>
      <c r="AB42">
        <v>257.2671644159243</v>
      </c>
      <c r="AC42" t="s">
        <v>56</v>
      </c>
      <c r="AD42">
        <v>70</v>
      </c>
    </row>
    <row r="43" spans="1:30" x14ac:dyDescent="0.3">
      <c r="A43">
        <v>73</v>
      </c>
      <c r="B43" t="s">
        <v>105</v>
      </c>
      <c r="C43" t="s">
        <v>106</v>
      </c>
      <c r="D43" t="s">
        <v>74</v>
      </c>
      <c r="E43">
        <v>65</v>
      </c>
      <c r="F43">
        <v>90</v>
      </c>
      <c r="G43">
        <v>50</v>
      </c>
      <c r="H43">
        <v>110</v>
      </c>
      <c r="I43">
        <v>60</v>
      </c>
      <c r="J43">
        <v>125</v>
      </c>
      <c r="K43">
        <v>271</v>
      </c>
      <c r="L43">
        <v>216</v>
      </c>
      <c r="M43">
        <v>136</v>
      </c>
      <c r="N43">
        <v>256</v>
      </c>
      <c r="O43">
        <v>156</v>
      </c>
      <c r="P43">
        <v>0.97201946472019463</v>
      </c>
      <c r="Q43">
        <v>799</v>
      </c>
      <c r="R43">
        <v>36856</v>
      </c>
      <c r="S43">
        <v>42276</v>
      </c>
      <c r="T43">
        <v>320.60926096076832</v>
      </c>
      <c r="U43">
        <v>402.55129128748371</v>
      </c>
      <c r="V43">
        <v>62.414849666826228</v>
      </c>
      <c r="W43">
        <v>76.745030263205351</v>
      </c>
      <c r="X43">
        <v>147.34871541315363</v>
      </c>
      <c r="Y43">
        <v>186.37034682657708</v>
      </c>
      <c r="Z43">
        <v>17.290162135849933</v>
      </c>
      <c r="AA43">
        <v>-7.8151686773701181</v>
      </c>
      <c r="AB43">
        <v>247.16082874361564</v>
      </c>
      <c r="AC43" t="s">
        <v>62</v>
      </c>
      <c r="AD43">
        <v>75</v>
      </c>
    </row>
    <row r="44" spans="1:30" x14ac:dyDescent="0.3">
      <c r="A44">
        <v>72</v>
      </c>
      <c r="B44" t="s">
        <v>107</v>
      </c>
      <c r="C44" t="s">
        <v>64</v>
      </c>
      <c r="D44" t="s">
        <v>73</v>
      </c>
      <c r="E44">
        <v>90</v>
      </c>
      <c r="F44">
        <v>100</v>
      </c>
      <c r="G44">
        <v>80</v>
      </c>
      <c r="H44">
        <v>120</v>
      </c>
      <c r="I44">
        <v>80</v>
      </c>
      <c r="J44">
        <v>80</v>
      </c>
      <c r="K44">
        <v>321</v>
      </c>
      <c r="L44">
        <v>236</v>
      </c>
      <c r="M44">
        <v>196</v>
      </c>
      <c r="N44">
        <v>276</v>
      </c>
      <c r="O44">
        <v>196</v>
      </c>
      <c r="P44">
        <v>0.66423357664233573</v>
      </c>
      <c r="Q44">
        <v>546</v>
      </c>
      <c r="R44">
        <v>62916</v>
      </c>
      <c r="S44">
        <v>62916</v>
      </c>
      <c r="T44">
        <v>273.01496064155003</v>
      </c>
      <c r="U44">
        <v>325.28642291268284</v>
      </c>
      <c r="V44">
        <v>122.67733491043327</v>
      </c>
      <c r="W44">
        <v>125.16135535383633</v>
      </c>
      <c r="X44">
        <v>125.89719670385124</v>
      </c>
      <c r="Y44">
        <v>152.79158974181462</v>
      </c>
      <c r="Z44">
        <v>3.9907170357009805</v>
      </c>
      <c r="AA44">
        <v>-4.3034575243333437</v>
      </c>
      <c r="AB44">
        <v>281.87743239438566</v>
      </c>
      <c r="AC44" t="s">
        <v>56</v>
      </c>
      <c r="AD44">
        <v>70</v>
      </c>
    </row>
    <row r="45" spans="1:30" x14ac:dyDescent="0.3">
      <c r="A45">
        <v>71</v>
      </c>
      <c r="B45" t="s">
        <v>108</v>
      </c>
      <c r="C45" t="s">
        <v>52</v>
      </c>
      <c r="D45" t="s">
        <v>55</v>
      </c>
      <c r="E45">
        <v>70</v>
      </c>
      <c r="F45">
        <v>95</v>
      </c>
      <c r="G45">
        <v>110</v>
      </c>
      <c r="H45">
        <v>40</v>
      </c>
      <c r="I45">
        <v>85</v>
      </c>
      <c r="J45">
        <v>100</v>
      </c>
      <c r="K45">
        <v>281</v>
      </c>
      <c r="L45">
        <v>226</v>
      </c>
      <c r="M45">
        <v>256</v>
      </c>
      <c r="N45">
        <v>116</v>
      </c>
      <c r="O45">
        <v>206</v>
      </c>
      <c r="P45">
        <v>0.86496350364963503</v>
      </c>
      <c r="Q45">
        <v>711</v>
      </c>
      <c r="R45">
        <v>71936</v>
      </c>
      <c r="S45">
        <v>57886</v>
      </c>
      <c r="T45">
        <v>309.68176158332784</v>
      </c>
      <c r="U45">
        <v>138.80639311198115</v>
      </c>
      <c r="V45">
        <v>143.53564714747608</v>
      </c>
      <c r="W45">
        <v>113.36222186517965</v>
      </c>
      <c r="X45">
        <v>142.42351521546524</v>
      </c>
      <c r="Y45">
        <v>71.748707594367175</v>
      </c>
      <c r="Z45">
        <v>-0.67123966681672798</v>
      </c>
      <c r="AA45">
        <v>14.772618234783208</v>
      </c>
      <c r="AB45">
        <v>245.99030020806265</v>
      </c>
      <c r="AC45" t="s">
        <v>62</v>
      </c>
      <c r="AD45">
        <v>75</v>
      </c>
    </row>
    <row r="46" spans="1:30" x14ac:dyDescent="0.3">
      <c r="A46">
        <v>70</v>
      </c>
      <c r="B46" t="s">
        <v>109</v>
      </c>
      <c r="C46" t="s">
        <v>91</v>
      </c>
      <c r="E46">
        <v>80</v>
      </c>
      <c r="F46">
        <v>110</v>
      </c>
      <c r="G46">
        <v>75</v>
      </c>
      <c r="H46">
        <v>60</v>
      </c>
      <c r="I46">
        <v>80</v>
      </c>
      <c r="J46">
        <v>95</v>
      </c>
      <c r="K46">
        <v>301</v>
      </c>
      <c r="L46">
        <v>256</v>
      </c>
      <c r="M46">
        <v>186</v>
      </c>
      <c r="N46">
        <v>156</v>
      </c>
      <c r="O46">
        <v>196</v>
      </c>
      <c r="P46">
        <v>0.80900243309002429</v>
      </c>
      <c r="Q46">
        <v>665</v>
      </c>
      <c r="R46">
        <v>55986</v>
      </c>
      <c r="S46">
        <v>58996</v>
      </c>
      <c r="T46">
        <v>343.30754585363547</v>
      </c>
      <c r="U46">
        <v>189.81275743800973</v>
      </c>
      <c r="V46">
        <v>106.65204624051015</v>
      </c>
      <c r="W46">
        <v>115.96600679011185</v>
      </c>
      <c r="X46">
        <v>157.57919847063442</v>
      </c>
      <c r="Y46">
        <v>93.915707338318029</v>
      </c>
      <c r="Z46">
        <v>6.2587258956973191</v>
      </c>
      <c r="AA46">
        <v>7.9613181453285931</v>
      </c>
      <c r="AB46">
        <v>247.95937558168879</v>
      </c>
      <c r="AC46" t="s">
        <v>62</v>
      </c>
      <c r="AD46">
        <v>75</v>
      </c>
    </row>
    <row r="47" spans="1:30" x14ac:dyDescent="0.3">
      <c r="A47">
        <v>69</v>
      </c>
      <c r="B47" t="s">
        <v>110</v>
      </c>
      <c r="C47" t="s">
        <v>77</v>
      </c>
      <c r="D47" t="s">
        <v>61</v>
      </c>
      <c r="E47">
        <v>95</v>
      </c>
      <c r="F47">
        <v>95</v>
      </c>
      <c r="G47">
        <v>80</v>
      </c>
      <c r="H47">
        <v>120</v>
      </c>
      <c r="I47">
        <v>100</v>
      </c>
      <c r="J47">
        <v>90</v>
      </c>
      <c r="K47">
        <v>331</v>
      </c>
      <c r="L47">
        <v>226</v>
      </c>
      <c r="M47">
        <v>196</v>
      </c>
      <c r="N47">
        <v>276</v>
      </c>
      <c r="O47">
        <v>236</v>
      </c>
      <c r="P47">
        <v>0.76034063260340634</v>
      </c>
      <c r="Q47">
        <v>625</v>
      </c>
      <c r="R47">
        <v>64876</v>
      </c>
      <c r="S47">
        <v>78116</v>
      </c>
      <c r="T47">
        <v>282.68459647557904</v>
      </c>
      <c r="U47">
        <v>358.4353050047788</v>
      </c>
      <c r="V47">
        <v>127.20973978677517</v>
      </c>
      <c r="W47">
        <v>160.81678856011496</v>
      </c>
      <c r="X47">
        <v>130.25545751690191</v>
      </c>
      <c r="Y47">
        <v>167.19785591187321</v>
      </c>
      <c r="Z47">
        <v>0.54414288851497228</v>
      </c>
      <c r="AA47">
        <v>-10.334341214395106</v>
      </c>
      <c r="AB47">
        <v>320.02620774872247</v>
      </c>
      <c r="AC47" t="s">
        <v>35</v>
      </c>
      <c r="AD47">
        <v>65</v>
      </c>
    </row>
    <row r="48" spans="1:30" x14ac:dyDescent="0.3">
      <c r="A48">
        <v>68</v>
      </c>
      <c r="B48" t="s">
        <v>111</v>
      </c>
      <c r="C48" t="s">
        <v>77</v>
      </c>
      <c r="E48">
        <v>70</v>
      </c>
      <c r="F48">
        <v>75</v>
      </c>
      <c r="G48">
        <v>60</v>
      </c>
      <c r="H48">
        <v>95</v>
      </c>
      <c r="I48">
        <v>85</v>
      </c>
      <c r="J48">
        <v>65</v>
      </c>
      <c r="K48">
        <v>281</v>
      </c>
      <c r="L48">
        <v>186</v>
      </c>
      <c r="M48">
        <v>156</v>
      </c>
      <c r="N48">
        <v>226</v>
      </c>
      <c r="O48">
        <v>206</v>
      </c>
      <c r="P48">
        <v>0.5024330900243309</v>
      </c>
      <c r="Q48">
        <v>413</v>
      </c>
      <c r="R48">
        <v>43836</v>
      </c>
      <c r="S48">
        <v>57886</v>
      </c>
      <c r="T48">
        <v>186.3316938476141</v>
      </c>
      <c r="U48">
        <v>226.47121993523447</v>
      </c>
      <c r="V48">
        <v>78.555760910125429</v>
      </c>
      <c r="W48">
        <v>113.36222186517965</v>
      </c>
      <c r="X48">
        <v>86.827650414865928</v>
      </c>
      <c r="Y48">
        <v>109.84721195596705</v>
      </c>
      <c r="Z48">
        <v>-1.0609818671086122</v>
      </c>
      <c r="AA48">
        <v>-8.4705674038928542</v>
      </c>
      <c r="AB48">
        <v>192.618294661005</v>
      </c>
      <c r="AC48" t="s">
        <v>37</v>
      </c>
      <c r="AD48">
        <v>80</v>
      </c>
    </row>
    <row r="49" spans="1:30" x14ac:dyDescent="0.3">
      <c r="A49">
        <v>67</v>
      </c>
      <c r="B49" t="s">
        <v>112</v>
      </c>
      <c r="C49" t="s">
        <v>77</v>
      </c>
      <c r="E49">
        <v>45</v>
      </c>
      <c r="F49">
        <v>50</v>
      </c>
      <c r="G49">
        <v>40</v>
      </c>
      <c r="H49">
        <v>60</v>
      </c>
      <c r="I49">
        <v>55</v>
      </c>
      <c r="J49">
        <v>40</v>
      </c>
      <c r="K49">
        <v>231</v>
      </c>
      <c r="L49">
        <v>136</v>
      </c>
      <c r="M49">
        <v>116</v>
      </c>
      <c r="N49">
        <v>156</v>
      </c>
      <c r="O49">
        <v>146</v>
      </c>
      <c r="P49">
        <v>0.19343065693430658</v>
      </c>
      <c r="Q49">
        <v>159</v>
      </c>
      <c r="R49">
        <v>26796</v>
      </c>
      <c r="S49">
        <v>33726</v>
      </c>
      <c r="T49">
        <v>114.38621092608822</v>
      </c>
      <c r="U49">
        <v>128.41002523855155</v>
      </c>
      <c r="V49">
        <v>39.151587903561193</v>
      </c>
      <c r="W49">
        <v>56.688849084673635</v>
      </c>
      <c r="X49">
        <v>54.400660994081917</v>
      </c>
      <c r="Y49">
        <v>67.230520755656727</v>
      </c>
      <c r="Z49">
        <v>1.2189849309756475</v>
      </c>
      <c r="AA49">
        <v>-4.4482870116875288</v>
      </c>
      <c r="AB49">
        <v>81.883717391287135</v>
      </c>
      <c r="AC49" t="s">
        <v>101</v>
      </c>
      <c r="AD49">
        <v>80</v>
      </c>
    </row>
    <row r="50" spans="1:30" x14ac:dyDescent="0.3">
      <c r="A50">
        <v>66</v>
      </c>
      <c r="B50" t="s">
        <v>113</v>
      </c>
      <c r="C50" t="s">
        <v>85</v>
      </c>
      <c r="D50" t="s">
        <v>77</v>
      </c>
      <c r="E50">
        <v>100</v>
      </c>
      <c r="F50">
        <v>100</v>
      </c>
      <c r="G50">
        <v>100</v>
      </c>
      <c r="H50">
        <v>100</v>
      </c>
      <c r="I50">
        <v>100</v>
      </c>
      <c r="J50">
        <v>100</v>
      </c>
      <c r="K50">
        <v>341</v>
      </c>
      <c r="L50">
        <v>236</v>
      </c>
      <c r="M50">
        <v>236</v>
      </c>
      <c r="N50">
        <v>236</v>
      </c>
      <c r="O50">
        <v>236</v>
      </c>
      <c r="P50">
        <v>0.86496350364963503</v>
      </c>
      <c r="Q50">
        <v>711</v>
      </c>
      <c r="R50">
        <v>80476</v>
      </c>
      <c r="S50">
        <v>80476</v>
      </c>
      <c r="T50">
        <v>326.9753189265121</v>
      </c>
      <c r="U50">
        <v>326.9753189265121</v>
      </c>
      <c r="V50">
        <v>163.28398268010864</v>
      </c>
      <c r="W50">
        <v>166.35276371582665</v>
      </c>
      <c r="X50">
        <v>150.21800040401868</v>
      </c>
      <c r="Y50">
        <v>153.52557182426247</v>
      </c>
      <c r="Z50">
        <v>-2.5713999281816382</v>
      </c>
      <c r="AA50">
        <v>-0.93403144359087231</v>
      </c>
      <c r="AB50">
        <v>351.02317502261496</v>
      </c>
      <c r="AC50" t="s">
        <v>66</v>
      </c>
      <c r="AD50">
        <v>60</v>
      </c>
    </row>
    <row r="51" spans="1:30" x14ac:dyDescent="0.3">
      <c r="A51">
        <v>65</v>
      </c>
      <c r="B51" t="s">
        <v>114</v>
      </c>
      <c r="C51" t="s">
        <v>77</v>
      </c>
      <c r="D51" t="s">
        <v>61</v>
      </c>
      <c r="E51">
        <v>100</v>
      </c>
      <c r="F51">
        <v>100</v>
      </c>
      <c r="G51">
        <v>100</v>
      </c>
      <c r="H51">
        <v>100</v>
      </c>
      <c r="I51">
        <v>100</v>
      </c>
      <c r="J51">
        <v>100</v>
      </c>
      <c r="K51">
        <v>341</v>
      </c>
      <c r="L51">
        <v>236</v>
      </c>
      <c r="M51">
        <v>236</v>
      </c>
      <c r="N51">
        <v>236</v>
      </c>
      <c r="O51">
        <v>236</v>
      </c>
      <c r="P51">
        <v>0.86496350364963503</v>
      </c>
      <c r="Q51">
        <v>711</v>
      </c>
      <c r="R51">
        <v>80476</v>
      </c>
      <c r="S51">
        <v>80476</v>
      </c>
      <c r="T51">
        <v>326.9753189265121</v>
      </c>
      <c r="U51">
        <v>326.9753189265121</v>
      </c>
      <c r="V51">
        <v>163.28398268010864</v>
      </c>
      <c r="W51">
        <v>166.35276371582665</v>
      </c>
      <c r="X51">
        <v>150.21800040401868</v>
      </c>
      <c r="Y51">
        <v>153.52557182426247</v>
      </c>
      <c r="Z51">
        <v>-2.5713999281816382</v>
      </c>
      <c r="AA51">
        <v>-0.93403144359087231</v>
      </c>
      <c r="AB51">
        <v>351.02317502261496</v>
      </c>
      <c r="AC51" t="s">
        <v>66</v>
      </c>
      <c r="AD51">
        <v>60</v>
      </c>
    </row>
    <row r="52" spans="1:30" x14ac:dyDescent="0.3">
      <c r="A52">
        <v>64</v>
      </c>
      <c r="B52" t="s">
        <v>115</v>
      </c>
      <c r="C52" t="s">
        <v>73</v>
      </c>
      <c r="D52" t="s">
        <v>65</v>
      </c>
      <c r="E52">
        <v>110</v>
      </c>
      <c r="F52">
        <v>130</v>
      </c>
      <c r="G52">
        <v>90</v>
      </c>
      <c r="H52">
        <v>105</v>
      </c>
      <c r="I52">
        <v>100</v>
      </c>
      <c r="J52">
        <v>65</v>
      </c>
      <c r="K52">
        <v>361</v>
      </c>
      <c r="L52">
        <v>296</v>
      </c>
      <c r="M52">
        <v>216</v>
      </c>
      <c r="N52">
        <v>246</v>
      </c>
      <c r="O52">
        <v>236</v>
      </c>
      <c r="P52">
        <v>0.5024330900243309</v>
      </c>
      <c r="Q52">
        <v>413</v>
      </c>
      <c r="R52">
        <v>77976</v>
      </c>
      <c r="S52">
        <v>85196</v>
      </c>
      <c r="T52">
        <v>296.75826168232385</v>
      </c>
      <c r="U52">
        <v>246.5479734869065</v>
      </c>
      <c r="V52">
        <v>157.5028540113052</v>
      </c>
      <c r="W52">
        <v>177.42471402724999</v>
      </c>
      <c r="X52">
        <v>136.5986853922162</v>
      </c>
      <c r="Y52">
        <v>118.57242491164077</v>
      </c>
      <c r="Z52">
        <v>-7.1127575591342236</v>
      </c>
      <c r="AA52">
        <v>-0.2776743573570476</v>
      </c>
      <c r="AB52">
        <v>323.01511172885557</v>
      </c>
      <c r="AC52" t="s">
        <v>35</v>
      </c>
      <c r="AD52">
        <v>65</v>
      </c>
    </row>
    <row r="53" spans="1:30" x14ac:dyDescent="0.3">
      <c r="A53">
        <v>63</v>
      </c>
      <c r="B53" t="s">
        <v>116</v>
      </c>
      <c r="C53" t="s">
        <v>61</v>
      </c>
      <c r="D53" t="s">
        <v>87</v>
      </c>
      <c r="E53">
        <v>100</v>
      </c>
      <c r="F53">
        <v>110</v>
      </c>
      <c r="G53">
        <v>140</v>
      </c>
      <c r="H53">
        <v>80</v>
      </c>
      <c r="I53">
        <v>140</v>
      </c>
      <c r="J53">
        <v>30</v>
      </c>
      <c r="K53">
        <v>341</v>
      </c>
      <c r="L53">
        <v>256</v>
      </c>
      <c r="M53">
        <v>316</v>
      </c>
      <c r="N53">
        <v>196</v>
      </c>
      <c r="O53">
        <v>316</v>
      </c>
      <c r="P53">
        <v>0.10583941605839416</v>
      </c>
      <c r="Q53">
        <v>87</v>
      </c>
      <c r="R53">
        <v>107756</v>
      </c>
      <c r="S53">
        <v>107756</v>
      </c>
      <c r="T53">
        <v>175.76548206087404</v>
      </c>
      <c r="U53">
        <v>144.69315525876462</v>
      </c>
      <c r="V53">
        <v>226.36765871409179</v>
      </c>
      <c r="W53">
        <v>230.34488331235826</v>
      </c>
      <c r="X53">
        <v>82.0652883608075</v>
      </c>
      <c r="Y53">
        <v>74.307052160279682</v>
      </c>
      <c r="Z53">
        <v>-24.541519969358308</v>
      </c>
      <c r="AA53">
        <v>0.55385641704796529</v>
      </c>
      <c r="AB53">
        <v>337.88975737695677</v>
      </c>
      <c r="AC53" t="s">
        <v>35</v>
      </c>
      <c r="AD53">
        <v>65</v>
      </c>
    </row>
    <row r="54" spans="1:30" x14ac:dyDescent="0.3">
      <c r="A54">
        <v>62</v>
      </c>
      <c r="B54" t="s">
        <v>117</v>
      </c>
      <c r="C54" t="s">
        <v>70</v>
      </c>
      <c r="D54" t="s">
        <v>69</v>
      </c>
      <c r="E54">
        <v>90</v>
      </c>
      <c r="F54">
        <v>115</v>
      </c>
      <c r="G54">
        <v>80</v>
      </c>
      <c r="H54">
        <v>130</v>
      </c>
      <c r="I54">
        <v>80</v>
      </c>
      <c r="J54">
        <v>105</v>
      </c>
      <c r="K54">
        <v>321</v>
      </c>
      <c r="L54">
        <v>266</v>
      </c>
      <c r="M54">
        <v>196</v>
      </c>
      <c r="N54">
        <v>296</v>
      </c>
      <c r="O54">
        <v>196</v>
      </c>
      <c r="P54">
        <v>0.8978102189781022</v>
      </c>
      <c r="Q54">
        <v>738</v>
      </c>
      <c r="R54">
        <v>62916</v>
      </c>
      <c r="S54">
        <v>62916</v>
      </c>
      <c r="T54">
        <v>393.31151058947825</v>
      </c>
      <c r="U54">
        <v>452.56230430007048</v>
      </c>
      <c r="V54">
        <v>122.67733491043327</v>
      </c>
      <c r="W54">
        <v>125.16135535383633</v>
      </c>
      <c r="X54">
        <v>180.11679179327635</v>
      </c>
      <c r="Y54">
        <v>208.10477403567376</v>
      </c>
      <c r="Z54">
        <v>12.962409463022716</v>
      </c>
      <c r="AA54">
        <v>-4.4636504732594782</v>
      </c>
      <c r="AB54">
        <v>352.75739437674412</v>
      </c>
      <c r="AC54" t="s">
        <v>66</v>
      </c>
      <c r="AD54">
        <v>60</v>
      </c>
    </row>
    <row r="55" spans="1:30" x14ac:dyDescent="0.3">
      <c r="A55">
        <v>61</v>
      </c>
      <c r="B55" t="s">
        <v>118</v>
      </c>
      <c r="C55" t="s">
        <v>60</v>
      </c>
      <c r="D55" t="s">
        <v>64</v>
      </c>
      <c r="E55">
        <v>100</v>
      </c>
      <c r="F55">
        <v>120</v>
      </c>
      <c r="G55">
        <v>90</v>
      </c>
      <c r="H55">
        <v>120</v>
      </c>
      <c r="I55">
        <v>90</v>
      </c>
      <c r="J55">
        <v>80</v>
      </c>
      <c r="K55">
        <v>341</v>
      </c>
      <c r="L55">
        <v>276</v>
      </c>
      <c r="M55">
        <v>216</v>
      </c>
      <c r="N55">
        <v>276</v>
      </c>
      <c r="O55">
        <v>216</v>
      </c>
      <c r="P55">
        <v>0.66423357664233573</v>
      </c>
      <c r="Q55">
        <v>546</v>
      </c>
      <c r="R55">
        <v>73656</v>
      </c>
      <c r="S55">
        <v>73656</v>
      </c>
      <c r="T55">
        <v>325.28642291268284</v>
      </c>
      <c r="U55">
        <v>325.28642291268284</v>
      </c>
      <c r="V55">
        <v>147.51306367161285</v>
      </c>
      <c r="W55">
        <v>150.35473381669374</v>
      </c>
      <c r="X55">
        <v>149.45678773368354</v>
      </c>
      <c r="Y55">
        <v>152.79158974181462</v>
      </c>
      <c r="Z55">
        <v>-9.5600641709645551E-2</v>
      </c>
      <c r="AA55">
        <v>-0.90475224533258547</v>
      </c>
      <c r="AB55">
        <v>329.49755272670609</v>
      </c>
      <c r="AC55" t="s">
        <v>35</v>
      </c>
      <c r="AD55">
        <v>65</v>
      </c>
    </row>
    <row r="56" spans="1:30" x14ac:dyDescent="0.3">
      <c r="A56">
        <v>60</v>
      </c>
      <c r="B56" t="s">
        <v>119</v>
      </c>
      <c r="C56" t="s">
        <v>74</v>
      </c>
      <c r="D56" t="s">
        <v>70</v>
      </c>
      <c r="E56">
        <v>85</v>
      </c>
      <c r="F56">
        <v>70</v>
      </c>
      <c r="G56">
        <v>75</v>
      </c>
      <c r="H56">
        <v>130</v>
      </c>
      <c r="I56">
        <v>110</v>
      </c>
      <c r="J56">
        <v>130</v>
      </c>
      <c r="K56">
        <v>311</v>
      </c>
      <c r="L56">
        <v>176</v>
      </c>
      <c r="M56">
        <v>186</v>
      </c>
      <c r="N56">
        <v>296</v>
      </c>
      <c r="O56">
        <v>256</v>
      </c>
      <c r="P56">
        <v>0.98418491484184911</v>
      </c>
      <c r="Q56">
        <v>809</v>
      </c>
      <c r="R56">
        <v>57846</v>
      </c>
      <c r="S56">
        <v>79616</v>
      </c>
      <c r="T56">
        <v>247.79849629314711</v>
      </c>
      <c r="U56">
        <v>498.16459020575223</v>
      </c>
      <c r="V56">
        <v>110.9532059700999</v>
      </c>
      <c r="W56">
        <v>164.33541683705033</v>
      </c>
      <c r="X56">
        <v>114.53172955496666</v>
      </c>
      <c r="Y56">
        <v>227.92320009586984</v>
      </c>
      <c r="Z56">
        <v>9.8229625125789486</v>
      </c>
      <c r="AA56">
        <v>-24.429619202228547</v>
      </c>
      <c r="AB56">
        <v>340.90443798672686</v>
      </c>
      <c r="AC56" t="s">
        <v>35</v>
      </c>
      <c r="AD56">
        <v>65</v>
      </c>
    </row>
    <row r="57" spans="1:30" x14ac:dyDescent="0.3">
      <c r="A57">
        <v>59</v>
      </c>
      <c r="B57" t="s">
        <v>120</v>
      </c>
      <c r="C57" t="s">
        <v>82</v>
      </c>
      <c r="D57" t="s">
        <v>69</v>
      </c>
      <c r="E57">
        <v>105</v>
      </c>
      <c r="F57">
        <v>90</v>
      </c>
      <c r="G57">
        <v>120</v>
      </c>
      <c r="H57">
        <v>110</v>
      </c>
      <c r="I57">
        <v>100</v>
      </c>
      <c r="J57">
        <v>75</v>
      </c>
      <c r="K57">
        <v>351</v>
      </c>
      <c r="L57">
        <v>216</v>
      </c>
      <c r="M57">
        <v>276</v>
      </c>
      <c r="N57">
        <v>256</v>
      </c>
      <c r="O57">
        <v>236</v>
      </c>
      <c r="P57">
        <v>0.60948905109489049</v>
      </c>
      <c r="Q57">
        <v>501</v>
      </c>
      <c r="R57">
        <v>96876</v>
      </c>
      <c r="S57">
        <v>82836</v>
      </c>
      <c r="T57">
        <v>236.45986756515762</v>
      </c>
      <c r="U57">
        <v>283.86750010630607</v>
      </c>
      <c r="V57">
        <v>201.20818674745922</v>
      </c>
      <c r="W57">
        <v>171.88873887153835</v>
      </c>
      <c r="X57">
        <v>109.42122672868423</v>
      </c>
      <c r="Y57">
        <v>134.79122325078146</v>
      </c>
      <c r="Z57">
        <v>-11.263558122098461</v>
      </c>
      <c r="AA57">
        <v>0.57853008830381203</v>
      </c>
      <c r="AB57">
        <v>340.62347698610301</v>
      </c>
      <c r="AC57" t="s">
        <v>35</v>
      </c>
      <c r="AD57">
        <v>65</v>
      </c>
    </row>
    <row r="58" spans="1:30" x14ac:dyDescent="0.3">
      <c r="A58">
        <v>58</v>
      </c>
      <c r="B58" t="s">
        <v>121</v>
      </c>
      <c r="C58" t="s">
        <v>106</v>
      </c>
      <c r="D58" t="s">
        <v>77</v>
      </c>
      <c r="E58">
        <v>95</v>
      </c>
      <c r="F58">
        <v>130</v>
      </c>
      <c r="G58">
        <v>80</v>
      </c>
      <c r="H58">
        <v>95</v>
      </c>
      <c r="I58">
        <v>80</v>
      </c>
      <c r="J58">
        <v>120</v>
      </c>
      <c r="K58">
        <v>331</v>
      </c>
      <c r="L58">
        <v>296</v>
      </c>
      <c r="M58">
        <v>196</v>
      </c>
      <c r="N58">
        <v>226</v>
      </c>
      <c r="O58">
        <v>196</v>
      </c>
      <c r="P58">
        <v>0.96228710462287104</v>
      </c>
      <c r="Q58">
        <v>791</v>
      </c>
      <c r="R58">
        <v>64876</v>
      </c>
      <c r="S58">
        <v>64876</v>
      </c>
      <c r="T58">
        <v>486.08569650534105</v>
      </c>
      <c r="U58">
        <v>337.50171197463061</v>
      </c>
      <c r="V58">
        <v>127.20973978677517</v>
      </c>
      <c r="W58">
        <v>129.7590296356986</v>
      </c>
      <c r="X58">
        <v>221.93161355904189</v>
      </c>
      <c r="Y58">
        <v>158.10026667039753</v>
      </c>
      <c r="Z58">
        <v>14.459362367918336</v>
      </c>
      <c r="AA58">
        <v>8.9768199920490055</v>
      </c>
      <c r="AB58">
        <v>353.36593421353041</v>
      </c>
      <c r="AC58" t="s">
        <v>66</v>
      </c>
      <c r="AD58">
        <v>60</v>
      </c>
    </row>
    <row r="59" spans="1:30" x14ac:dyDescent="0.3">
      <c r="A59">
        <v>57</v>
      </c>
      <c r="B59" t="s">
        <v>122</v>
      </c>
      <c r="C59" t="s">
        <v>61</v>
      </c>
      <c r="D59" t="s">
        <v>73</v>
      </c>
      <c r="E59">
        <v>95</v>
      </c>
      <c r="F59">
        <v>95</v>
      </c>
      <c r="G59">
        <v>80</v>
      </c>
      <c r="H59">
        <v>130</v>
      </c>
      <c r="I59">
        <v>80</v>
      </c>
      <c r="J59">
        <v>120</v>
      </c>
      <c r="K59">
        <v>331</v>
      </c>
      <c r="L59">
        <v>226</v>
      </c>
      <c r="M59">
        <v>196</v>
      </c>
      <c r="N59">
        <v>296</v>
      </c>
      <c r="O59">
        <v>196</v>
      </c>
      <c r="P59">
        <v>0.96228710462287104</v>
      </c>
      <c r="Q59">
        <v>791</v>
      </c>
      <c r="R59">
        <v>64876</v>
      </c>
      <c r="S59">
        <v>64876</v>
      </c>
      <c r="T59">
        <v>337.50171197463061</v>
      </c>
      <c r="U59">
        <v>486.08569650534105</v>
      </c>
      <c r="V59">
        <v>127.20973978677517</v>
      </c>
      <c r="W59">
        <v>129.7590296356986</v>
      </c>
      <c r="X59">
        <v>154.96241551042178</v>
      </c>
      <c r="Y59">
        <v>222.67379961218177</v>
      </c>
      <c r="Z59">
        <v>14.579743522567538</v>
      </c>
      <c r="AA59">
        <v>-10.292040656639871</v>
      </c>
      <c r="AB59">
        <v>351.81567088002356</v>
      </c>
      <c r="AC59" t="s">
        <v>66</v>
      </c>
      <c r="AD59">
        <v>60</v>
      </c>
    </row>
    <row r="60" spans="1:30" x14ac:dyDescent="0.3">
      <c r="A60">
        <v>56</v>
      </c>
      <c r="B60" t="s">
        <v>123</v>
      </c>
      <c r="C60" t="s">
        <v>87</v>
      </c>
      <c r="D60" t="s">
        <v>85</v>
      </c>
      <c r="E60">
        <v>90</v>
      </c>
      <c r="F60">
        <v>110</v>
      </c>
      <c r="G60">
        <v>130</v>
      </c>
      <c r="H60">
        <v>60</v>
      </c>
      <c r="I60">
        <v>100</v>
      </c>
      <c r="J60">
        <v>60</v>
      </c>
      <c r="K60">
        <v>321</v>
      </c>
      <c r="L60">
        <v>256</v>
      </c>
      <c r="M60">
        <v>296</v>
      </c>
      <c r="N60">
        <v>156</v>
      </c>
      <c r="O60">
        <v>236</v>
      </c>
      <c r="P60">
        <v>0.44525547445255476</v>
      </c>
      <c r="Q60">
        <v>366</v>
      </c>
      <c r="R60">
        <v>95016</v>
      </c>
      <c r="S60">
        <v>75756</v>
      </c>
      <c r="T60">
        <v>243.11797774894845</v>
      </c>
      <c r="U60">
        <v>150.68731353058462</v>
      </c>
      <c r="V60">
        <v>196.90702701786944</v>
      </c>
      <c r="W60">
        <v>155.28081340440326</v>
      </c>
      <c r="X60">
        <v>112.42214436416238</v>
      </c>
      <c r="Y60">
        <v>76.912070311099541</v>
      </c>
      <c r="Z60">
        <v>-14.194139963443968</v>
      </c>
      <c r="AA60">
        <v>11.299205716748796</v>
      </c>
      <c r="AB60">
        <v>291.58060209425651</v>
      </c>
      <c r="AC60" t="s">
        <v>56</v>
      </c>
      <c r="AD60">
        <v>70</v>
      </c>
    </row>
    <row r="61" spans="1:30" x14ac:dyDescent="0.3">
      <c r="A61">
        <v>55</v>
      </c>
      <c r="B61" t="s">
        <v>124</v>
      </c>
      <c r="C61" t="s">
        <v>87</v>
      </c>
      <c r="D61" t="s">
        <v>85</v>
      </c>
      <c r="E61">
        <v>60</v>
      </c>
      <c r="F61">
        <v>75</v>
      </c>
      <c r="G61">
        <v>105</v>
      </c>
      <c r="H61">
        <v>45</v>
      </c>
      <c r="I61">
        <v>70</v>
      </c>
      <c r="J61">
        <v>45</v>
      </c>
      <c r="K61">
        <v>261</v>
      </c>
      <c r="L61">
        <v>186</v>
      </c>
      <c r="M61">
        <v>246</v>
      </c>
      <c r="N61">
        <v>126</v>
      </c>
      <c r="O61">
        <v>176</v>
      </c>
      <c r="P61">
        <v>0.24939172749391728</v>
      </c>
      <c r="Q61">
        <v>205</v>
      </c>
      <c r="R61">
        <v>64206</v>
      </c>
      <c r="S61">
        <v>45936</v>
      </c>
      <c r="T61">
        <v>154.73480561185545</v>
      </c>
      <c r="U61">
        <v>110.38446112416203</v>
      </c>
      <c r="V61">
        <v>125.66039730353586</v>
      </c>
      <c r="W61">
        <v>85.330483258927714</v>
      </c>
      <c r="X61">
        <v>72.586423322565935</v>
      </c>
      <c r="Y61">
        <v>59.396740003235209</v>
      </c>
      <c r="Z61">
        <v>-9.0993508083423542</v>
      </c>
      <c r="AA61">
        <v>7.8397464900960747</v>
      </c>
      <c r="AB61">
        <v>163.09782675135676</v>
      </c>
      <c r="AC61" t="s">
        <v>37</v>
      </c>
      <c r="AD61">
        <v>80</v>
      </c>
    </row>
    <row r="62" spans="1:30" x14ac:dyDescent="0.3">
      <c r="A62">
        <v>54</v>
      </c>
      <c r="B62" t="s">
        <v>125</v>
      </c>
      <c r="C62" t="s">
        <v>64</v>
      </c>
      <c r="D62" t="s">
        <v>77</v>
      </c>
      <c r="E62">
        <v>80</v>
      </c>
      <c r="F62">
        <v>90</v>
      </c>
      <c r="G62">
        <v>70</v>
      </c>
      <c r="H62">
        <v>100</v>
      </c>
      <c r="I62">
        <v>85</v>
      </c>
      <c r="J62">
        <v>95</v>
      </c>
      <c r="K62">
        <v>301</v>
      </c>
      <c r="L62">
        <v>216</v>
      </c>
      <c r="M62">
        <v>176</v>
      </c>
      <c r="N62">
        <v>236</v>
      </c>
      <c r="O62">
        <v>206</v>
      </c>
      <c r="P62">
        <v>0.80900243309002429</v>
      </c>
      <c r="Q62">
        <v>665</v>
      </c>
      <c r="R62">
        <v>52976</v>
      </c>
      <c r="S62">
        <v>62006</v>
      </c>
      <c r="T62">
        <v>279.19625001999776</v>
      </c>
      <c r="U62">
        <v>310.81468710832348</v>
      </c>
      <c r="V62">
        <v>99.691567323270803</v>
      </c>
      <c r="W62">
        <v>123.02672086582886</v>
      </c>
      <c r="X62">
        <v>128.68320351265061</v>
      </c>
      <c r="Y62">
        <v>146.50227725878284</v>
      </c>
      <c r="Z62">
        <v>3.3168362316616777</v>
      </c>
      <c r="AA62">
        <v>-6.0284218273382884</v>
      </c>
      <c r="AB62">
        <v>263.35469127072349</v>
      </c>
      <c r="AC62" t="s">
        <v>56</v>
      </c>
      <c r="AD62">
        <v>70</v>
      </c>
    </row>
    <row r="63" spans="1:30" x14ac:dyDescent="0.3">
      <c r="A63">
        <v>53</v>
      </c>
      <c r="B63" t="s">
        <v>126</v>
      </c>
      <c r="C63" t="s">
        <v>64</v>
      </c>
      <c r="D63" t="s">
        <v>77</v>
      </c>
      <c r="E63">
        <v>50</v>
      </c>
      <c r="F63">
        <v>60</v>
      </c>
      <c r="G63">
        <v>40</v>
      </c>
      <c r="H63">
        <v>70</v>
      </c>
      <c r="I63">
        <v>55</v>
      </c>
      <c r="J63">
        <v>65</v>
      </c>
      <c r="K63">
        <v>241</v>
      </c>
      <c r="L63">
        <v>156</v>
      </c>
      <c r="M63">
        <v>116</v>
      </c>
      <c r="N63">
        <v>176</v>
      </c>
      <c r="O63">
        <v>146</v>
      </c>
      <c r="P63">
        <v>0.5024330900243309</v>
      </c>
      <c r="Q63">
        <v>413</v>
      </c>
      <c r="R63">
        <v>27956</v>
      </c>
      <c r="S63">
        <v>35186</v>
      </c>
      <c r="T63">
        <v>156.24039473099319</v>
      </c>
      <c r="U63">
        <v>176.29992689669194</v>
      </c>
      <c r="V63">
        <v>41.834031605885983</v>
      </c>
      <c r="W63">
        <v>60.113647274224078</v>
      </c>
      <c r="X63">
        <v>73.265016619265026</v>
      </c>
      <c r="Y63">
        <v>88.04312819829515</v>
      </c>
      <c r="Z63">
        <v>4.0392542500385744</v>
      </c>
      <c r="AA63">
        <v>-4.8424168701375807</v>
      </c>
      <c r="AB63">
        <v>111.51122000016419</v>
      </c>
      <c r="AC63" t="s">
        <v>58</v>
      </c>
      <c r="AD63">
        <v>80</v>
      </c>
    </row>
    <row r="64" spans="1:30" x14ac:dyDescent="0.3">
      <c r="A64">
        <v>52</v>
      </c>
      <c r="B64" t="s">
        <v>127</v>
      </c>
      <c r="C64" t="s">
        <v>52</v>
      </c>
      <c r="D64" t="s">
        <v>65</v>
      </c>
      <c r="E64">
        <v>75</v>
      </c>
      <c r="F64">
        <v>100</v>
      </c>
      <c r="G64">
        <v>65</v>
      </c>
      <c r="H64">
        <v>60</v>
      </c>
      <c r="I64">
        <v>70</v>
      </c>
      <c r="J64">
        <v>110</v>
      </c>
      <c r="K64">
        <v>291</v>
      </c>
      <c r="L64">
        <v>236</v>
      </c>
      <c r="M64">
        <v>166</v>
      </c>
      <c r="N64">
        <v>156</v>
      </c>
      <c r="O64">
        <v>176</v>
      </c>
      <c r="P64">
        <v>0.92822384428223847</v>
      </c>
      <c r="Q64">
        <v>763</v>
      </c>
      <c r="R64">
        <v>48306</v>
      </c>
      <c r="S64">
        <v>51216</v>
      </c>
      <c r="T64">
        <v>346.43386076484143</v>
      </c>
      <c r="U64">
        <v>204.9034578430869</v>
      </c>
      <c r="V64">
        <v>88.892418969945979</v>
      </c>
      <c r="W64">
        <v>97.716054793740284</v>
      </c>
      <c r="X64">
        <v>158.98827901933672</v>
      </c>
      <c r="Y64">
        <v>100.47401739306312</v>
      </c>
      <c r="Z64">
        <v>9.4473832775629969</v>
      </c>
      <c r="AA64">
        <v>7.2788647227033962</v>
      </c>
      <c r="AB64">
        <v>229.81294236268928</v>
      </c>
      <c r="AC64" t="s">
        <v>62</v>
      </c>
      <c r="AD64">
        <v>75</v>
      </c>
    </row>
    <row r="65" spans="1:30" x14ac:dyDescent="0.3">
      <c r="A65">
        <v>51</v>
      </c>
      <c r="B65" t="s">
        <v>128</v>
      </c>
      <c r="C65" t="s">
        <v>52</v>
      </c>
      <c r="D65" t="s">
        <v>65</v>
      </c>
      <c r="E65">
        <v>55</v>
      </c>
      <c r="F65">
        <v>70</v>
      </c>
      <c r="G65">
        <v>45</v>
      </c>
      <c r="H65">
        <v>40</v>
      </c>
      <c r="I65">
        <v>50</v>
      </c>
      <c r="J65">
        <v>80</v>
      </c>
      <c r="K65">
        <v>251</v>
      </c>
      <c r="L65">
        <v>176</v>
      </c>
      <c r="M65">
        <v>126</v>
      </c>
      <c r="N65">
        <v>116</v>
      </c>
      <c r="O65">
        <v>136</v>
      </c>
      <c r="P65">
        <v>0.66423357664233573</v>
      </c>
      <c r="Q65">
        <v>546</v>
      </c>
      <c r="R65">
        <v>31626</v>
      </c>
      <c r="S65">
        <v>34136</v>
      </c>
      <c r="T65">
        <v>197.4611014457052</v>
      </c>
      <c r="U65">
        <v>125.73645704362369</v>
      </c>
      <c r="V65">
        <v>50.320728491689437</v>
      </c>
      <c r="W65">
        <v>57.650607480369302</v>
      </c>
      <c r="X65">
        <v>91.843853903784549</v>
      </c>
      <c r="Y65">
        <v>66.068607212601904</v>
      </c>
      <c r="Z65">
        <v>5.0552250030227635</v>
      </c>
      <c r="AA65">
        <v>2.701944966455649</v>
      </c>
      <c r="AB65">
        <v>113.21181278232093</v>
      </c>
      <c r="AC65" t="s">
        <v>58</v>
      </c>
      <c r="AD65">
        <v>80</v>
      </c>
    </row>
    <row r="66" spans="1:30" x14ac:dyDescent="0.3">
      <c r="A66">
        <v>50</v>
      </c>
      <c r="B66" t="s">
        <v>129</v>
      </c>
      <c r="C66" t="s">
        <v>74</v>
      </c>
      <c r="D66" t="s">
        <v>82</v>
      </c>
      <c r="E66">
        <v>80</v>
      </c>
      <c r="F66">
        <v>100</v>
      </c>
      <c r="G66">
        <v>130</v>
      </c>
      <c r="H66">
        <v>60</v>
      </c>
      <c r="I66">
        <v>130</v>
      </c>
      <c r="J66">
        <v>50</v>
      </c>
      <c r="K66">
        <v>301</v>
      </c>
      <c r="L66">
        <v>236</v>
      </c>
      <c r="M66">
        <v>296</v>
      </c>
      <c r="N66">
        <v>156</v>
      </c>
      <c r="O66">
        <v>296</v>
      </c>
      <c r="P66">
        <v>0.31995133819951338</v>
      </c>
      <c r="Q66">
        <v>263</v>
      </c>
      <c r="R66">
        <v>89096</v>
      </c>
      <c r="S66">
        <v>89096</v>
      </c>
      <c r="T66">
        <v>201.14982221902784</v>
      </c>
      <c r="U66">
        <v>139.18261917102075</v>
      </c>
      <c r="V66">
        <v>183.2173143301429</v>
      </c>
      <c r="W66">
        <v>186.57314754728202</v>
      </c>
      <c r="X66">
        <v>93.506419844487553</v>
      </c>
      <c r="Y66">
        <v>71.91221273857019</v>
      </c>
      <c r="Z66">
        <v>-15.586098774390491</v>
      </c>
      <c r="AA66">
        <v>2.6716237550761339</v>
      </c>
      <c r="AB66">
        <v>287.49541031450104</v>
      </c>
      <c r="AC66" t="s">
        <v>56</v>
      </c>
      <c r="AD66">
        <v>70</v>
      </c>
    </row>
    <row r="67" spans="1:30" x14ac:dyDescent="0.3">
      <c r="A67">
        <v>49</v>
      </c>
      <c r="B67" t="s">
        <v>130</v>
      </c>
      <c r="C67" t="s">
        <v>61</v>
      </c>
      <c r="D67" t="s">
        <v>53</v>
      </c>
      <c r="E67">
        <v>90</v>
      </c>
      <c r="F67">
        <v>80</v>
      </c>
      <c r="G67">
        <v>100</v>
      </c>
      <c r="H67">
        <v>120</v>
      </c>
      <c r="I67">
        <v>110</v>
      </c>
      <c r="J67">
        <v>80</v>
      </c>
      <c r="K67">
        <v>321</v>
      </c>
      <c r="L67">
        <v>196</v>
      </c>
      <c r="M67">
        <v>236</v>
      </c>
      <c r="N67">
        <v>276</v>
      </c>
      <c r="O67">
        <v>256</v>
      </c>
      <c r="P67">
        <v>0.66423357664233573</v>
      </c>
      <c r="Q67">
        <v>546</v>
      </c>
      <c r="R67">
        <v>75756</v>
      </c>
      <c r="S67">
        <v>82176</v>
      </c>
      <c r="T67">
        <v>222.24402240743271</v>
      </c>
      <c r="U67">
        <v>325.28642291268284</v>
      </c>
      <c r="V67">
        <v>152.36921175340774</v>
      </c>
      <c r="W67">
        <v>170.34054242968676</v>
      </c>
      <c r="X67">
        <v>103.01391605652073</v>
      </c>
      <c r="Y67">
        <v>152.79158974181462</v>
      </c>
      <c r="Z67">
        <v>-3.3372604751862309</v>
      </c>
      <c r="AA67">
        <v>-9.9241221031498252</v>
      </c>
      <c r="AB67">
        <v>315.51934418168906</v>
      </c>
      <c r="AC67" t="s">
        <v>35</v>
      </c>
      <c r="AD67">
        <v>65</v>
      </c>
    </row>
    <row r="68" spans="1:30" x14ac:dyDescent="0.3">
      <c r="A68">
        <v>48</v>
      </c>
      <c r="B68" t="s">
        <v>131</v>
      </c>
      <c r="C68" t="s">
        <v>61</v>
      </c>
      <c r="D68" t="s">
        <v>53</v>
      </c>
      <c r="E68">
        <v>65</v>
      </c>
      <c r="F68">
        <v>60</v>
      </c>
      <c r="G68">
        <v>75</v>
      </c>
      <c r="H68">
        <v>90</v>
      </c>
      <c r="I68">
        <v>80</v>
      </c>
      <c r="J68">
        <v>60</v>
      </c>
      <c r="K68">
        <v>271</v>
      </c>
      <c r="L68">
        <v>156</v>
      </c>
      <c r="M68">
        <v>186</v>
      </c>
      <c r="N68">
        <v>216</v>
      </c>
      <c r="O68">
        <v>196</v>
      </c>
      <c r="P68">
        <v>0.44525547445255476</v>
      </c>
      <c r="Q68">
        <v>366</v>
      </c>
      <c r="R68">
        <v>50406</v>
      </c>
      <c r="S68">
        <v>53116</v>
      </c>
      <c r="T68">
        <v>150.68731353058462</v>
      </c>
      <c r="U68">
        <v>206.44860859002878</v>
      </c>
      <c r="V68">
        <v>93.748567051740878</v>
      </c>
      <c r="W68">
        <v>102.17298394452511</v>
      </c>
      <c r="X68">
        <v>70.762153367449585</v>
      </c>
      <c r="Y68">
        <v>101.14552881451819</v>
      </c>
      <c r="Z68">
        <v>-0.65750525190269338</v>
      </c>
      <c r="AA68">
        <v>-5.6847074486725413</v>
      </c>
      <c r="AB68">
        <v>179.18191483765048</v>
      </c>
      <c r="AC68" t="s">
        <v>37</v>
      </c>
      <c r="AD68">
        <v>80</v>
      </c>
    </row>
    <row r="69" spans="1:30" x14ac:dyDescent="0.3">
      <c r="A69">
        <v>47</v>
      </c>
      <c r="B69" t="s">
        <v>132</v>
      </c>
      <c r="C69" t="s">
        <v>60</v>
      </c>
      <c r="D69" t="s">
        <v>70</v>
      </c>
      <c r="E69">
        <v>85</v>
      </c>
      <c r="F69">
        <v>110</v>
      </c>
      <c r="G69">
        <v>80</v>
      </c>
      <c r="H69">
        <v>95</v>
      </c>
      <c r="I69">
        <v>85</v>
      </c>
      <c r="J69">
        <v>125</v>
      </c>
      <c r="K69">
        <v>311</v>
      </c>
      <c r="L69">
        <v>256</v>
      </c>
      <c r="M69">
        <v>196</v>
      </c>
      <c r="N69">
        <v>226</v>
      </c>
      <c r="O69">
        <v>206</v>
      </c>
      <c r="P69">
        <v>0.97201946472019463</v>
      </c>
      <c r="Q69">
        <v>799</v>
      </c>
      <c r="R69">
        <v>60956</v>
      </c>
      <c r="S69">
        <v>64066</v>
      </c>
      <c r="T69">
        <v>402.55129128748371</v>
      </c>
      <c r="U69">
        <v>340.44346399944561</v>
      </c>
      <c r="V69">
        <v>118.14493003409137</v>
      </c>
      <c r="W69">
        <v>127.85897036615346</v>
      </c>
      <c r="X69">
        <v>184.28130996422803</v>
      </c>
      <c r="Y69">
        <v>159.37873098053782</v>
      </c>
      <c r="Z69">
        <v>8.6607412908178478</v>
      </c>
      <c r="AA69">
        <v>2.2248727279107237</v>
      </c>
      <c r="AB69">
        <v>322.73378825636058</v>
      </c>
      <c r="AC69" t="s">
        <v>35</v>
      </c>
      <c r="AD69">
        <v>65</v>
      </c>
    </row>
    <row r="70" spans="1:30" x14ac:dyDescent="0.3">
      <c r="A70">
        <v>46</v>
      </c>
      <c r="B70" t="s">
        <v>133</v>
      </c>
      <c r="C70" t="s">
        <v>60</v>
      </c>
      <c r="D70" t="s">
        <v>70</v>
      </c>
      <c r="E70">
        <v>60</v>
      </c>
      <c r="F70">
        <v>85</v>
      </c>
      <c r="G70">
        <v>55</v>
      </c>
      <c r="H70">
        <v>75</v>
      </c>
      <c r="I70">
        <v>60</v>
      </c>
      <c r="J70">
        <v>100</v>
      </c>
      <c r="K70">
        <v>261</v>
      </c>
      <c r="L70">
        <v>206</v>
      </c>
      <c r="M70">
        <v>146</v>
      </c>
      <c r="N70">
        <v>186</v>
      </c>
      <c r="O70">
        <v>156</v>
      </c>
      <c r="P70">
        <v>0.86496350364963503</v>
      </c>
      <c r="Q70">
        <v>711</v>
      </c>
      <c r="R70">
        <v>38106</v>
      </c>
      <c r="S70">
        <v>40716</v>
      </c>
      <c r="T70">
        <v>275.95021923317836</v>
      </c>
      <c r="U70">
        <v>243.37694042722569</v>
      </c>
      <c r="V70">
        <v>65.305414001227945</v>
      </c>
      <c r="W70">
        <v>73.085656855192553</v>
      </c>
      <c r="X70">
        <v>127.220165088146</v>
      </c>
      <c r="Y70">
        <v>117.19431670983478</v>
      </c>
      <c r="Z70">
        <v>8.2896594303991709</v>
      </c>
      <c r="AA70">
        <v>0.32894451555606885</v>
      </c>
      <c r="AB70">
        <v>188.87326897915239</v>
      </c>
      <c r="AC70" t="s">
        <v>37</v>
      </c>
      <c r="AD70">
        <v>80</v>
      </c>
    </row>
    <row r="71" spans="1:30" x14ac:dyDescent="0.3">
      <c r="A71">
        <v>45</v>
      </c>
      <c r="B71" t="s">
        <v>134</v>
      </c>
      <c r="C71" t="s">
        <v>69</v>
      </c>
      <c r="D71" t="s">
        <v>91</v>
      </c>
      <c r="E71">
        <v>70</v>
      </c>
      <c r="F71">
        <v>110</v>
      </c>
      <c r="G71">
        <v>65</v>
      </c>
      <c r="H71">
        <v>90</v>
      </c>
      <c r="I71">
        <v>70</v>
      </c>
      <c r="J71">
        <v>115</v>
      </c>
      <c r="K71">
        <v>281</v>
      </c>
      <c r="L71">
        <v>256</v>
      </c>
      <c r="M71">
        <v>166</v>
      </c>
      <c r="N71">
        <v>216</v>
      </c>
      <c r="O71">
        <v>176</v>
      </c>
      <c r="P71">
        <v>0.95133819951338194</v>
      </c>
      <c r="Q71">
        <v>782</v>
      </c>
      <c r="R71">
        <v>46646</v>
      </c>
      <c r="S71">
        <v>49456</v>
      </c>
      <c r="T71">
        <v>394.39460397871193</v>
      </c>
      <c r="U71">
        <v>314.97576121451243</v>
      </c>
      <c r="V71">
        <v>85.053749533860497</v>
      </c>
      <c r="W71">
        <v>93.587530948802765</v>
      </c>
      <c r="X71">
        <v>180.60495945089997</v>
      </c>
      <c r="Y71">
        <v>148.31065019155784</v>
      </c>
      <c r="Z71">
        <v>13.623206043799515</v>
      </c>
      <c r="AA71">
        <v>3.4805290761861309</v>
      </c>
      <c r="AB71">
        <v>269.60134058437649</v>
      </c>
      <c r="AC71" t="s">
        <v>56</v>
      </c>
      <c r="AD71">
        <v>70</v>
      </c>
    </row>
    <row r="72" spans="1:30" x14ac:dyDescent="0.3">
      <c r="A72">
        <v>44</v>
      </c>
      <c r="B72" t="s">
        <v>135</v>
      </c>
      <c r="C72" t="s">
        <v>60</v>
      </c>
      <c r="D72" t="s">
        <v>74</v>
      </c>
      <c r="E72">
        <v>60</v>
      </c>
      <c r="F72">
        <v>65</v>
      </c>
      <c r="G72">
        <v>60</v>
      </c>
      <c r="H72">
        <v>95</v>
      </c>
      <c r="I72">
        <v>90</v>
      </c>
      <c r="J72">
        <v>85</v>
      </c>
      <c r="K72">
        <v>261</v>
      </c>
      <c r="L72">
        <v>166</v>
      </c>
      <c r="M72">
        <v>156</v>
      </c>
      <c r="N72">
        <v>226</v>
      </c>
      <c r="O72">
        <v>216</v>
      </c>
      <c r="P72">
        <v>0.71289537712895379</v>
      </c>
      <c r="Q72">
        <v>586</v>
      </c>
      <c r="R72">
        <v>40716</v>
      </c>
      <c r="S72">
        <v>56376</v>
      </c>
      <c r="T72">
        <v>191.36010475774773</v>
      </c>
      <c r="U72">
        <v>271.3184811872253</v>
      </c>
      <c r="V72">
        <v>71.340912331458739</v>
      </c>
      <c r="W72">
        <v>109.82013606639804</v>
      </c>
      <c r="X72">
        <v>89.094036305472997</v>
      </c>
      <c r="Y72">
        <v>129.33750972224939</v>
      </c>
      <c r="Z72">
        <v>2.6748265816701173</v>
      </c>
      <c r="AA72">
        <v>-11.531588783997494</v>
      </c>
      <c r="AB72">
        <v>199.7363630158124</v>
      </c>
      <c r="AC72" t="s">
        <v>37</v>
      </c>
      <c r="AD72">
        <v>80</v>
      </c>
    </row>
    <row r="73" spans="1:30" x14ac:dyDescent="0.3">
      <c r="A73">
        <v>43</v>
      </c>
      <c r="B73" t="s">
        <v>136</v>
      </c>
      <c r="C73" t="s">
        <v>87</v>
      </c>
      <c r="D73" t="s">
        <v>53</v>
      </c>
      <c r="E73">
        <v>75</v>
      </c>
      <c r="F73">
        <v>100</v>
      </c>
      <c r="G73">
        <v>85</v>
      </c>
      <c r="H73">
        <v>60</v>
      </c>
      <c r="I73">
        <v>75</v>
      </c>
      <c r="J73">
        <v>90</v>
      </c>
      <c r="K73">
        <v>291</v>
      </c>
      <c r="L73">
        <v>236</v>
      </c>
      <c r="M73">
        <v>206</v>
      </c>
      <c r="N73">
        <v>156</v>
      </c>
      <c r="O73">
        <v>186</v>
      </c>
      <c r="P73">
        <v>0.76034063260340634</v>
      </c>
      <c r="Q73">
        <v>625</v>
      </c>
      <c r="R73">
        <v>59946</v>
      </c>
      <c r="S73">
        <v>54126</v>
      </c>
      <c r="T73">
        <v>297.49776844451549</v>
      </c>
      <c r="U73">
        <v>184.00987463091144</v>
      </c>
      <c r="V73">
        <v>115.80935405189479</v>
      </c>
      <c r="W73">
        <v>104.54219365099495</v>
      </c>
      <c r="X73">
        <v>136.93199301599492</v>
      </c>
      <c r="Y73">
        <v>91.393816131234217</v>
      </c>
      <c r="Z73">
        <v>2.9351975365105663</v>
      </c>
      <c r="AA73">
        <v>8.3210536988091697</v>
      </c>
      <c r="AB73">
        <v>231.49969554652523</v>
      </c>
      <c r="AC73" t="s">
        <v>62</v>
      </c>
      <c r="AD73">
        <v>75</v>
      </c>
    </row>
    <row r="74" spans="1:30" x14ac:dyDescent="0.3">
      <c r="A74">
        <v>42</v>
      </c>
      <c r="B74" t="s">
        <v>137</v>
      </c>
      <c r="C74" t="s">
        <v>61</v>
      </c>
      <c r="D74" t="s">
        <v>70</v>
      </c>
      <c r="E74">
        <v>85</v>
      </c>
      <c r="F74">
        <v>70</v>
      </c>
      <c r="G74">
        <v>90</v>
      </c>
      <c r="H74">
        <v>120</v>
      </c>
      <c r="I74">
        <v>100</v>
      </c>
      <c r="J74">
        <v>110</v>
      </c>
      <c r="K74">
        <v>311</v>
      </c>
      <c r="L74">
        <v>176</v>
      </c>
      <c r="M74">
        <v>216</v>
      </c>
      <c r="N74">
        <v>276</v>
      </c>
      <c r="O74">
        <v>236</v>
      </c>
      <c r="P74">
        <v>0.92822384428223847</v>
      </c>
      <c r="Q74">
        <v>763</v>
      </c>
      <c r="R74">
        <v>67176</v>
      </c>
      <c r="S74">
        <v>73396</v>
      </c>
      <c r="T74">
        <v>238.03765426128118</v>
      </c>
      <c r="U74">
        <v>426.04421762997532</v>
      </c>
      <c r="V74">
        <v>132.52837816207435</v>
      </c>
      <c r="W74">
        <v>149.74483824869162</v>
      </c>
      <c r="X74">
        <v>110.13236063766442</v>
      </c>
      <c r="Y74">
        <v>196.58020395126769</v>
      </c>
      <c r="Z74">
        <v>7.1057525083563755</v>
      </c>
      <c r="AA74">
        <v>-15.185126547265963</v>
      </c>
      <c r="AB74">
        <v>322.29494264535401</v>
      </c>
      <c r="AC74" t="s">
        <v>35</v>
      </c>
      <c r="AD74">
        <v>65</v>
      </c>
    </row>
    <row r="75" spans="1:30" x14ac:dyDescent="0.3">
      <c r="A75">
        <v>41</v>
      </c>
      <c r="B75" t="s">
        <v>138</v>
      </c>
      <c r="C75" t="s">
        <v>61</v>
      </c>
      <c r="D75" t="s">
        <v>70</v>
      </c>
      <c r="E75">
        <v>60</v>
      </c>
      <c r="F75">
        <v>50</v>
      </c>
      <c r="G75">
        <v>70</v>
      </c>
      <c r="H75">
        <v>90</v>
      </c>
      <c r="I75">
        <v>75</v>
      </c>
      <c r="J75">
        <v>95</v>
      </c>
      <c r="K75">
        <v>261</v>
      </c>
      <c r="L75">
        <v>136</v>
      </c>
      <c r="M75">
        <v>176</v>
      </c>
      <c r="N75">
        <v>216</v>
      </c>
      <c r="O75">
        <v>186</v>
      </c>
      <c r="P75">
        <v>0.80900243309002429</v>
      </c>
      <c r="Q75">
        <v>665</v>
      </c>
      <c r="R75">
        <v>45936</v>
      </c>
      <c r="S75">
        <v>48546</v>
      </c>
      <c r="T75">
        <v>161.92119884573577</v>
      </c>
      <c r="U75">
        <v>279.19625001999776</v>
      </c>
      <c r="V75">
        <v>83.411908991920328</v>
      </c>
      <c r="W75">
        <v>91.452896460795287</v>
      </c>
      <c r="X75">
        <v>75.825446648364036</v>
      </c>
      <c r="Y75">
        <v>132.76113149977451</v>
      </c>
      <c r="Z75">
        <v>6.2092625132049868</v>
      </c>
      <c r="AA75">
        <v>-9.5180207597060704</v>
      </c>
      <c r="AB75">
        <v>189.29119385232144</v>
      </c>
      <c r="AC75" t="s">
        <v>37</v>
      </c>
      <c r="AD75">
        <v>80</v>
      </c>
    </row>
    <row r="76" spans="1:30" x14ac:dyDescent="0.3">
      <c r="A76">
        <v>40</v>
      </c>
      <c r="B76" t="s">
        <v>139</v>
      </c>
      <c r="C76" t="s">
        <v>73</v>
      </c>
      <c r="D76" t="s">
        <v>53</v>
      </c>
      <c r="E76">
        <v>80</v>
      </c>
      <c r="F76">
        <v>105</v>
      </c>
      <c r="G76">
        <v>75</v>
      </c>
      <c r="H76">
        <v>90</v>
      </c>
      <c r="I76">
        <v>75</v>
      </c>
      <c r="J76">
        <v>110</v>
      </c>
      <c r="K76">
        <v>301</v>
      </c>
      <c r="L76">
        <v>246</v>
      </c>
      <c r="M76">
        <v>186</v>
      </c>
      <c r="N76">
        <v>216</v>
      </c>
      <c r="O76">
        <v>186</v>
      </c>
      <c r="P76">
        <v>0.92822384428223847</v>
      </c>
      <c r="Q76">
        <v>763</v>
      </c>
      <c r="R76">
        <v>55986</v>
      </c>
      <c r="S76">
        <v>55986</v>
      </c>
      <c r="T76">
        <v>365.79188176940988</v>
      </c>
      <c r="U76">
        <v>308.81785042133646</v>
      </c>
      <c r="V76">
        <v>106.65204624051015</v>
      </c>
      <c r="W76">
        <v>108.90529271439483</v>
      </c>
      <c r="X76">
        <v>167.71325127377472</v>
      </c>
      <c r="Y76">
        <v>145.63446637059207</v>
      </c>
      <c r="Z76">
        <v>9.0476841118261504</v>
      </c>
      <c r="AA76">
        <v>2.9041174255933289</v>
      </c>
      <c r="AB76">
        <v>283.4159925689292</v>
      </c>
      <c r="AC76" t="s">
        <v>56</v>
      </c>
      <c r="AD76">
        <v>70</v>
      </c>
    </row>
    <row r="77" spans="1:30" x14ac:dyDescent="0.3">
      <c r="A77">
        <v>39</v>
      </c>
      <c r="B77" t="s">
        <v>140</v>
      </c>
      <c r="C77" t="s">
        <v>73</v>
      </c>
      <c r="D77" t="s">
        <v>53</v>
      </c>
      <c r="E77">
        <v>55</v>
      </c>
      <c r="F77">
        <v>75</v>
      </c>
      <c r="G77">
        <v>50</v>
      </c>
      <c r="H77">
        <v>60</v>
      </c>
      <c r="I77">
        <v>50</v>
      </c>
      <c r="J77">
        <v>80</v>
      </c>
      <c r="K77">
        <v>251</v>
      </c>
      <c r="L77">
        <v>186</v>
      </c>
      <c r="M77">
        <v>136</v>
      </c>
      <c r="N77">
        <v>156</v>
      </c>
      <c r="O77">
        <v>136</v>
      </c>
      <c r="P77">
        <v>0.66423357664233573</v>
      </c>
      <c r="Q77">
        <v>546</v>
      </c>
      <c r="R77">
        <v>34136</v>
      </c>
      <c r="S77">
        <v>34136</v>
      </c>
      <c r="T77">
        <v>209.80058399963309</v>
      </c>
      <c r="U77">
        <v>173.10296575096436</v>
      </c>
      <c r="V77">
        <v>56.124981675168087</v>
      </c>
      <c r="W77">
        <v>57.650607480369302</v>
      </c>
      <c r="X77">
        <v>97.405457690232268</v>
      </c>
      <c r="Y77">
        <v>86.653751836439838</v>
      </c>
      <c r="Z77">
        <v>5.9573064725970335</v>
      </c>
      <c r="AA77">
        <v>1.3514699706433877</v>
      </c>
      <c r="AB77">
        <v>133.88768525643712</v>
      </c>
      <c r="AC77" t="s">
        <v>58</v>
      </c>
      <c r="AD77">
        <v>80</v>
      </c>
    </row>
    <row r="78" spans="1:30" x14ac:dyDescent="0.3">
      <c r="A78">
        <v>38</v>
      </c>
      <c r="B78" t="s">
        <v>141</v>
      </c>
      <c r="C78" t="s">
        <v>85</v>
      </c>
      <c r="D78" t="s">
        <v>77</v>
      </c>
      <c r="E78">
        <v>85</v>
      </c>
      <c r="F78">
        <v>70</v>
      </c>
      <c r="G78">
        <v>80</v>
      </c>
      <c r="H78">
        <v>110</v>
      </c>
      <c r="I78">
        <v>95</v>
      </c>
      <c r="J78">
        <v>90</v>
      </c>
      <c r="K78">
        <v>311</v>
      </c>
      <c r="L78">
        <v>176</v>
      </c>
      <c r="M78">
        <v>196</v>
      </c>
      <c r="N78">
        <v>256</v>
      </c>
      <c r="O78">
        <v>226</v>
      </c>
      <c r="P78">
        <v>0.76034063260340634</v>
      </c>
      <c r="Q78">
        <v>625</v>
      </c>
      <c r="R78">
        <v>60956</v>
      </c>
      <c r="S78">
        <v>70286</v>
      </c>
      <c r="T78">
        <v>211.27849239759237</v>
      </c>
      <c r="U78">
        <v>327.63465300514349</v>
      </c>
      <c r="V78">
        <v>118.14493003409137</v>
      </c>
      <c r="W78">
        <v>142.44954895451224</v>
      </c>
      <c r="X78">
        <v>98.071574839487994</v>
      </c>
      <c r="Y78">
        <v>153.81211368125074</v>
      </c>
      <c r="Z78">
        <v>1.3521322105254061</v>
      </c>
      <c r="AA78">
        <v>-11.725307654091084</v>
      </c>
      <c r="AB78">
        <v>272.7859576082688</v>
      </c>
      <c r="AC78" t="s">
        <v>56</v>
      </c>
      <c r="AD78">
        <v>70</v>
      </c>
    </row>
    <row r="79" spans="1:30" x14ac:dyDescent="0.3">
      <c r="A79">
        <v>37</v>
      </c>
      <c r="B79" t="s">
        <v>142</v>
      </c>
      <c r="C79" t="s">
        <v>85</v>
      </c>
      <c r="D79" t="s">
        <v>77</v>
      </c>
      <c r="E79">
        <v>60</v>
      </c>
      <c r="F79">
        <v>45</v>
      </c>
      <c r="G79">
        <v>55</v>
      </c>
      <c r="H79">
        <v>75</v>
      </c>
      <c r="I79">
        <v>70</v>
      </c>
      <c r="J79">
        <v>65</v>
      </c>
      <c r="K79">
        <v>261</v>
      </c>
      <c r="L79">
        <v>126</v>
      </c>
      <c r="M79">
        <v>146</v>
      </c>
      <c r="N79">
        <v>186</v>
      </c>
      <c r="O79">
        <v>176</v>
      </c>
      <c r="P79">
        <v>0.5024330900243309</v>
      </c>
      <c r="Q79">
        <v>413</v>
      </c>
      <c r="R79">
        <v>38106</v>
      </c>
      <c r="S79">
        <v>45936</v>
      </c>
      <c r="T79">
        <v>126.16172605586455</v>
      </c>
      <c r="U79">
        <v>186.3316938476141</v>
      </c>
      <c r="V79">
        <v>65.305414001227945</v>
      </c>
      <c r="W79">
        <v>85.330483258927714</v>
      </c>
      <c r="X79">
        <v>59.708075567336408</v>
      </c>
      <c r="Y79">
        <v>92.402862093678635</v>
      </c>
      <c r="Z79">
        <v>0.65627228544022753</v>
      </c>
      <c r="AA79">
        <v>-7.7225974166203288</v>
      </c>
      <c r="AB79">
        <v>137.0663222255148</v>
      </c>
      <c r="AC79" t="s">
        <v>58</v>
      </c>
      <c r="AD79">
        <v>80</v>
      </c>
    </row>
    <row r="80" spans="1:30" x14ac:dyDescent="0.3">
      <c r="A80">
        <v>36</v>
      </c>
      <c r="B80" t="s">
        <v>143</v>
      </c>
      <c r="C80" t="s">
        <v>52</v>
      </c>
      <c r="D80" t="s">
        <v>60</v>
      </c>
      <c r="E80">
        <v>70</v>
      </c>
      <c r="F80">
        <v>85</v>
      </c>
      <c r="G80">
        <v>60</v>
      </c>
      <c r="H80">
        <v>90</v>
      </c>
      <c r="I80">
        <v>70</v>
      </c>
      <c r="J80">
        <v>100</v>
      </c>
      <c r="K80">
        <v>281</v>
      </c>
      <c r="L80">
        <v>206</v>
      </c>
      <c r="M80">
        <v>156</v>
      </c>
      <c r="N80">
        <v>216</v>
      </c>
      <c r="O80">
        <v>176</v>
      </c>
      <c r="P80">
        <v>0.86496350364963503</v>
      </c>
      <c r="Q80">
        <v>711</v>
      </c>
      <c r="R80">
        <v>43836</v>
      </c>
      <c r="S80">
        <v>49456</v>
      </c>
      <c r="T80">
        <v>275.95021923317836</v>
      </c>
      <c r="U80">
        <v>292.67252797817622</v>
      </c>
      <c r="V80">
        <v>78.555760910125429</v>
      </c>
      <c r="W80">
        <v>93.587530948802765</v>
      </c>
      <c r="X80">
        <v>127.220165088146</v>
      </c>
      <c r="Y80">
        <v>138.61782514958853</v>
      </c>
      <c r="Z80">
        <v>6.812973372059492</v>
      </c>
      <c r="AA80">
        <v>-3.8714796461130354</v>
      </c>
      <c r="AB80">
        <v>224.57813858290154</v>
      </c>
      <c r="AC80" t="s">
        <v>62</v>
      </c>
      <c r="AD80">
        <v>75</v>
      </c>
    </row>
    <row r="81" spans="1:30" x14ac:dyDescent="0.3">
      <c r="A81">
        <v>35</v>
      </c>
      <c r="B81" t="s">
        <v>144</v>
      </c>
      <c r="C81" t="s">
        <v>52</v>
      </c>
      <c r="D81" t="s">
        <v>60</v>
      </c>
      <c r="E81">
        <v>45</v>
      </c>
      <c r="F81">
        <v>60</v>
      </c>
      <c r="G81">
        <v>40</v>
      </c>
      <c r="H81">
        <v>55</v>
      </c>
      <c r="I81">
        <v>45</v>
      </c>
      <c r="J81">
        <v>70</v>
      </c>
      <c r="K81">
        <v>231</v>
      </c>
      <c r="L81">
        <v>156</v>
      </c>
      <c r="M81">
        <v>116</v>
      </c>
      <c r="N81">
        <v>146</v>
      </c>
      <c r="O81">
        <v>126</v>
      </c>
      <c r="P81">
        <v>0.57055961070559613</v>
      </c>
      <c r="Q81">
        <v>469</v>
      </c>
      <c r="R81">
        <v>26796</v>
      </c>
      <c r="S81">
        <v>29106</v>
      </c>
      <c r="T81">
        <v>163.12516469038206</v>
      </c>
      <c r="U81">
        <v>152.29706520521151</v>
      </c>
      <c r="V81">
        <v>39.151587903561193</v>
      </c>
      <c r="W81">
        <v>45.851473991712624</v>
      </c>
      <c r="X81">
        <v>76.36809347095766</v>
      </c>
      <c r="Y81">
        <v>77.61165683193434</v>
      </c>
      <c r="Z81">
        <v>4.6605867553210647</v>
      </c>
      <c r="AA81">
        <v>-1.163585546329575</v>
      </c>
      <c r="AB81">
        <v>95.803866074068353</v>
      </c>
      <c r="AC81" t="s">
        <v>101</v>
      </c>
      <c r="AD81">
        <v>80</v>
      </c>
    </row>
    <row r="82" spans="1:30" x14ac:dyDescent="0.3">
      <c r="A82">
        <v>34</v>
      </c>
      <c r="B82" t="s">
        <v>145</v>
      </c>
      <c r="C82" t="s">
        <v>73</v>
      </c>
      <c r="D82" t="s">
        <v>55</v>
      </c>
      <c r="E82">
        <v>90</v>
      </c>
      <c r="F82">
        <v>120</v>
      </c>
      <c r="G82">
        <v>100</v>
      </c>
      <c r="H82">
        <v>75</v>
      </c>
      <c r="I82">
        <v>80</v>
      </c>
      <c r="J82">
        <v>85</v>
      </c>
      <c r="K82">
        <v>321</v>
      </c>
      <c r="L82">
        <v>276</v>
      </c>
      <c r="M82">
        <v>236</v>
      </c>
      <c r="N82">
        <v>186</v>
      </c>
      <c r="O82">
        <v>196</v>
      </c>
      <c r="P82">
        <v>0.71289537712895379</v>
      </c>
      <c r="Q82">
        <v>586</v>
      </c>
      <c r="R82">
        <v>75756</v>
      </c>
      <c r="S82">
        <v>62916</v>
      </c>
      <c r="T82">
        <v>341.62596919259795</v>
      </c>
      <c r="U82">
        <v>217.44878527683846</v>
      </c>
      <c r="V82">
        <v>152.36921175340774</v>
      </c>
      <c r="W82">
        <v>125.16135535383633</v>
      </c>
      <c r="X82">
        <v>156.82128475064206</v>
      </c>
      <c r="Y82">
        <v>105.92612662857356</v>
      </c>
      <c r="Z82">
        <v>0.23126370313149747</v>
      </c>
      <c r="AA82">
        <v>11.440815404461883</v>
      </c>
      <c r="AB82">
        <v>290.77554534875418</v>
      </c>
      <c r="AC82" t="s">
        <v>56</v>
      </c>
      <c r="AD82">
        <v>70</v>
      </c>
    </row>
    <row r="83" spans="1:30" x14ac:dyDescent="0.3">
      <c r="A83">
        <v>33</v>
      </c>
      <c r="B83" t="s">
        <v>146</v>
      </c>
      <c r="C83" t="s">
        <v>73</v>
      </c>
      <c r="E83">
        <v>58</v>
      </c>
      <c r="F83">
        <v>66</v>
      </c>
      <c r="G83">
        <v>54</v>
      </c>
      <c r="H83">
        <v>60</v>
      </c>
      <c r="I83">
        <v>48</v>
      </c>
      <c r="J83">
        <v>64</v>
      </c>
      <c r="K83">
        <v>257</v>
      </c>
      <c r="L83">
        <v>168</v>
      </c>
      <c r="M83">
        <v>144</v>
      </c>
      <c r="N83">
        <v>156</v>
      </c>
      <c r="O83">
        <v>132</v>
      </c>
      <c r="P83">
        <v>0.45742092457420924</v>
      </c>
      <c r="Q83">
        <v>376</v>
      </c>
      <c r="R83">
        <v>37008</v>
      </c>
      <c r="S83">
        <v>33924</v>
      </c>
      <c r="T83">
        <v>163.25143129082966</v>
      </c>
      <c r="U83">
        <v>151.85221545339002</v>
      </c>
      <c r="V83">
        <v>62.766342289889479</v>
      </c>
      <c r="W83">
        <v>57.153308017229094</v>
      </c>
      <c r="X83">
        <v>76.425003864086563</v>
      </c>
      <c r="Y83">
        <v>77.418328323521294</v>
      </c>
      <c r="Z83">
        <v>1.8856700389125871</v>
      </c>
      <c r="AA83">
        <v>0.67671200041391222</v>
      </c>
      <c r="AB83">
        <v>118.31052720547011</v>
      </c>
      <c r="AC83" t="s">
        <v>58</v>
      </c>
      <c r="AD83">
        <v>80</v>
      </c>
    </row>
    <row r="84" spans="1:30" x14ac:dyDescent="0.3">
      <c r="A84">
        <v>32</v>
      </c>
      <c r="B84" t="s">
        <v>147</v>
      </c>
      <c r="C84" t="s">
        <v>65</v>
      </c>
      <c r="E84">
        <v>110</v>
      </c>
      <c r="F84">
        <v>110</v>
      </c>
      <c r="G84">
        <v>100</v>
      </c>
      <c r="H84">
        <v>100</v>
      </c>
      <c r="I84">
        <v>90</v>
      </c>
      <c r="J84">
        <v>140</v>
      </c>
      <c r="K84">
        <v>361</v>
      </c>
      <c r="L84">
        <v>256</v>
      </c>
      <c r="M84">
        <v>236</v>
      </c>
      <c r="N84">
        <v>236</v>
      </c>
      <c r="O84">
        <v>216</v>
      </c>
      <c r="P84">
        <v>0.98905109489051091</v>
      </c>
      <c r="Q84">
        <v>813</v>
      </c>
      <c r="R84">
        <v>85196</v>
      </c>
      <c r="S84">
        <v>77976</v>
      </c>
      <c r="T84">
        <v>409.42378448260797</v>
      </c>
      <c r="U84">
        <v>366.45611704452102</v>
      </c>
      <c r="V84">
        <v>174.19875360680953</v>
      </c>
      <c r="W84">
        <v>160.48838325426766</v>
      </c>
      <c r="X84">
        <v>187.37885348027868</v>
      </c>
      <c r="Y84">
        <v>170.68364324019123</v>
      </c>
      <c r="Z84">
        <v>1.6469329261320973</v>
      </c>
      <c r="AA84">
        <v>4.4539207219636605</v>
      </c>
      <c r="AB84">
        <v>389.44176360210332</v>
      </c>
      <c r="AC84" t="s">
        <v>66</v>
      </c>
      <c r="AD84">
        <v>60</v>
      </c>
    </row>
    <row r="85" spans="1:30" x14ac:dyDescent="0.3">
      <c r="A85">
        <v>31</v>
      </c>
      <c r="B85" t="s">
        <v>148</v>
      </c>
      <c r="C85" t="s">
        <v>65</v>
      </c>
      <c r="E85">
        <v>80</v>
      </c>
      <c r="F85">
        <v>85</v>
      </c>
      <c r="G85">
        <v>75</v>
      </c>
      <c r="H85">
        <v>80</v>
      </c>
      <c r="I85">
        <v>70</v>
      </c>
      <c r="J85">
        <v>110</v>
      </c>
      <c r="K85">
        <v>301</v>
      </c>
      <c r="L85">
        <v>206</v>
      </c>
      <c r="M85">
        <v>186</v>
      </c>
      <c r="N85">
        <v>196</v>
      </c>
      <c r="O85">
        <v>176</v>
      </c>
      <c r="P85">
        <v>0.92822384428223847</v>
      </c>
      <c r="Q85">
        <v>763</v>
      </c>
      <c r="R85">
        <v>55986</v>
      </c>
      <c r="S85">
        <v>52976</v>
      </c>
      <c r="T85">
        <v>290.56353528605882</v>
      </c>
      <c r="U85">
        <v>272.68081679869806</v>
      </c>
      <c r="V85">
        <v>106.65204624051015</v>
      </c>
      <c r="W85">
        <v>101.84457863867782</v>
      </c>
      <c r="X85">
        <v>133.80662230278719</v>
      </c>
      <c r="Y85">
        <v>129.92957099832199</v>
      </c>
      <c r="Z85">
        <v>3.9135661673652336</v>
      </c>
      <c r="AA85">
        <v>1.2721401125430314</v>
      </c>
      <c r="AB85">
        <v>246.7427142388342</v>
      </c>
      <c r="AC85" t="s">
        <v>62</v>
      </c>
      <c r="AD85">
        <v>75</v>
      </c>
    </row>
    <row r="86" spans="1:30" x14ac:dyDescent="0.3">
      <c r="A86">
        <v>30</v>
      </c>
      <c r="B86" t="s">
        <v>149</v>
      </c>
      <c r="C86" t="s">
        <v>65</v>
      </c>
      <c r="E86">
        <v>55</v>
      </c>
      <c r="F86">
        <v>60</v>
      </c>
      <c r="G86">
        <v>50</v>
      </c>
      <c r="H86">
        <v>55</v>
      </c>
      <c r="I86">
        <v>45</v>
      </c>
      <c r="J86">
        <v>70</v>
      </c>
      <c r="K86">
        <v>251</v>
      </c>
      <c r="L86">
        <v>156</v>
      </c>
      <c r="M86">
        <v>136</v>
      </c>
      <c r="N86">
        <v>146</v>
      </c>
      <c r="O86">
        <v>126</v>
      </c>
      <c r="P86">
        <v>0.57055961070559613</v>
      </c>
      <c r="Q86">
        <v>469</v>
      </c>
      <c r="R86">
        <v>34136</v>
      </c>
      <c r="S86">
        <v>31626</v>
      </c>
      <c r="T86">
        <v>163.12516469038206</v>
      </c>
      <c r="U86">
        <v>152.29706520521151</v>
      </c>
      <c r="V86">
        <v>56.124981675168087</v>
      </c>
      <c r="W86">
        <v>51.762769496964083</v>
      </c>
      <c r="X86">
        <v>76.36809347095766</v>
      </c>
      <c r="Y86">
        <v>77.61165683193434</v>
      </c>
      <c r="Z86">
        <v>2.994243508907716</v>
      </c>
      <c r="AA86">
        <v>0.45683109221546642</v>
      </c>
      <c r="AB86">
        <v>110.61282020683772</v>
      </c>
      <c r="AC86" t="s">
        <v>58</v>
      </c>
      <c r="AD86">
        <v>80</v>
      </c>
    </row>
    <row r="87" spans="1:30" x14ac:dyDescent="0.3">
      <c r="A87">
        <v>29</v>
      </c>
      <c r="B87" t="s">
        <v>150</v>
      </c>
      <c r="C87" t="s">
        <v>55</v>
      </c>
      <c r="D87" t="s">
        <v>53</v>
      </c>
      <c r="E87">
        <v>100</v>
      </c>
      <c r="F87">
        <v>95</v>
      </c>
      <c r="G87">
        <v>95</v>
      </c>
      <c r="H87">
        <v>90</v>
      </c>
      <c r="I87">
        <v>100</v>
      </c>
      <c r="J87">
        <v>120</v>
      </c>
      <c r="K87">
        <v>341</v>
      </c>
      <c r="L87">
        <v>226</v>
      </c>
      <c r="M87">
        <v>226</v>
      </c>
      <c r="N87">
        <v>216</v>
      </c>
      <c r="O87">
        <v>236</v>
      </c>
      <c r="P87">
        <v>0.96228710462287104</v>
      </c>
      <c r="Q87">
        <v>791</v>
      </c>
      <c r="R87">
        <v>77066</v>
      </c>
      <c r="S87">
        <v>80476</v>
      </c>
      <c r="T87">
        <v>337.50171197463061</v>
      </c>
      <c r="U87">
        <v>317.94338548584636</v>
      </c>
      <c r="V87">
        <v>155.39852317586076</v>
      </c>
      <c r="W87">
        <v>166.35276371582665</v>
      </c>
      <c r="X87">
        <v>154.96241551042178</v>
      </c>
      <c r="Y87">
        <v>149.60035839428957</v>
      </c>
      <c r="Z87">
        <v>-2.3383466374892121</v>
      </c>
      <c r="AA87">
        <v>-0.81916349390389043</v>
      </c>
      <c r="AB87">
        <v>346.45051568708732</v>
      </c>
      <c r="AC87" t="s">
        <v>35</v>
      </c>
      <c r="AD87">
        <v>65</v>
      </c>
    </row>
    <row r="88" spans="1:30" x14ac:dyDescent="0.3">
      <c r="A88">
        <v>28</v>
      </c>
      <c r="B88" t="s">
        <v>151</v>
      </c>
      <c r="C88" t="s">
        <v>85</v>
      </c>
      <c r="D88" t="s">
        <v>60</v>
      </c>
      <c r="E88">
        <v>100</v>
      </c>
      <c r="F88">
        <v>90</v>
      </c>
      <c r="G88">
        <v>100</v>
      </c>
      <c r="H88">
        <v>130</v>
      </c>
      <c r="I88">
        <v>95</v>
      </c>
      <c r="J88">
        <v>85</v>
      </c>
      <c r="K88">
        <v>341</v>
      </c>
      <c r="L88">
        <v>216</v>
      </c>
      <c r="M88">
        <v>236</v>
      </c>
      <c r="N88">
        <v>296</v>
      </c>
      <c r="O88">
        <v>226</v>
      </c>
      <c r="P88">
        <v>0.71289537712895379</v>
      </c>
      <c r="Q88">
        <v>586</v>
      </c>
      <c r="R88">
        <v>80476</v>
      </c>
      <c r="S88">
        <v>77066</v>
      </c>
      <c r="T88">
        <v>257.64588147082679</v>
      </c>
      <c r="U88">
        <v>370.61470707031384</v>
      </c>
      <c r="V88">
        <v>163.28398268010864</v>
      </c>
      <c r="W88">
        <v>158.3537487662602</v>
      </c>
      <c r="X88">
        <v>118.97010486377239</v>
      </c>
      <c r="Y88">
        <v>172.49093660946016</v>
      </c>
      <c r="Z88">
        <v>1.0024962726552245</v>
      </c>
      <c r="AA88">
        <v>-7.1177285997391619</v>
      </c>
      <c r="AB88">
        <v>337.89874600163495</v>
      </c>
      <c r="AC88" t="s">
        <v>35</v>
      </c>
      <c r="AD88">
        <v>65</v>
      </c>
    </row>
    <row r="89" spans="1:30" x14ac:dyDescent="0.3">
      <c r="A89">
        <v>27</v>
      </c>
      <c r="B89" t="s">
        <v>152</v>
      </c>
      <c r="C89" t="s">
        <v>73</v>
      </c>
      <c r="D89" t="s">
        <v>82</v>
      </c>
      <c r="E89">
        <v>100</v>
      </c>
      <c r="F89">
        <v>130</v>
      </c>
      <c r="G89">
        <v>90</v>
      </c>
      <c r="H89">
        <v>95</v>
      </c>
      <c r="I89">
        <v>100</v>
      </c>
      <c r="J89">
        <v>85</v>
      </c>
      <c r="K89">
        <v>341</v>
      </c>
      <c r="L89">
        <v>296</v>
      </c>
      <c r="M89">
        <v>216</v>
      </c>
      <c r="N89">
        <v>226</v>
      </c>
      <c r="O89">
        <v>236</v>
      </c>
      <c r="P89">
        <v>0.71289537712895379</v>
      </c>
      <c r="Q89">
        <v>586</v>
      </c>
      <c r="R89">
        <v>73656</v>
      </c>
      <c r="S89">
        <v>80476</v>
      </c>
      <c r="T89">
        <v>370.61470707031384</v>
      </c>
      <c r="U89">
        <v>271.3184811872253</v>
      </c>
      <c r="V89">
        <v>147.51306367161285</v>
      </c>
      <c r="W89">
        <v>166.35276371582665</v>
      </c>
      <c r="X89">
        <v>169.88697641481357</v>
      </c>
      <c r="Y89">
        <v>129.33750972224939</v>
      </c>
      <c r="Z89">
        <v>8.2388522787925522E-2</v>
      </c>
      <c r="AA89">
        <v>3.18012607092012</v>
      </c>
      <c r="AB89">
        <v>337.89327182663101</v>
      </c>
      <c r="AC89" t="s">
        <v>35</v>
      </c>
      <c r="AD89">
        <v>65</v>
      </c>
    </row>
    <row r="90" spans="1:30" x14ac:dyDescent="0.3">
      <c r="A90">
        <v>26</v>
      </c>
      <c r="B90" t="s">
        <v>1</v>
      </c>
      <c r="C90" t="s">
        <v>77</v>
      </c>
      <c r="D90" t="s">
        <v>74</v>
      </c>
      <c r="E90">
        <v>115</v>
      </c>
      <c r="F90">
        <v>135</v>
      </c>
      <c r="G90">
        <v>120</v>
      </c>
      <c r="H90">
        <v>110</v>
      </c>
      <c r="I90">
        <v>110</v>
      </c>
      <c r="J90">
        <v>100</v>
      </c>
      <c r="K90">
        <v>371</v>
      </c>
      <c r="L90">
        <v>306</v>
      </c>
      <c r="M90">
        <v>276</v>
      </c>
      <c r="N90">
        <v>256</v>
      </c>
      <c r="O90">
        <v>256</v>
      </c>
      <c r="P90">
        <v>0.86496350364963503</v>
      </c>
      <c r="Q90">
        <v>711</v>
      </c>
      <c r="R90">
        <v>102396</v>
      </c>
      <c r="S90">
        <v>94976</v>
      </c>
      <c r="T90">
        <v>455.77925651033331</v>
      </c>
      <c r="U90">
        <v>362.40515659755488</v>
      </c>
      <c r="V90">
        <v>213.97291884817722</v>
      </c>
      <c r="W90">
        <v>200.36617039286875</v>
      </c>
      <c r="X90">
        <v>208.27201229996538</v>
      </c>
      <c r="Y90">
        <v>168.92312491317082</v>
      </c>
      <c r="Z90">
        <v>-1.4155301104140467</v>
      </c>
      <c r="AA90">
        <v>7.7571353424206455</v>
      </c>
      <c r="AB90">
        <v>453.36644648405405</v>
      </c>
      <c r="AC90" t="s">
        <v>153</v>
      </c>
      <c r="AD90">
        <v>50</v>
      </c>
    </row>
    <row r="91" spans="1:30" x14ac:dyDescent="0.3">
      <c r="A91">
        <v>25</v>
      </c>
      <c r="B91" t="s">
        <v>154</v>
      </c>
      <c r="C91" t="s">
        <v>61</v>
      </c>
      <c r="D91" t="s">
        <v>69</v>
      </c>
      <c r="E91">
        <v>100</v>
      </c>
      <c r="F91">
        <v>110</v>
      </c>
      <c r="G91">
        <v>90</v>
      </c>
      <c r="H91">
        <v>140</v>
      </c>
      <c r="I91">
        <v>120</v>
      </c>
      <c r="J91">
        <v>100</v>
      </c>
      <c r="K91">
        <v>341</v>
      </c>
      <c r="L91">
        <v>256</v>
      </c>
      <c r="M91">
        <v>216</v>
      </c>
      <c r="N91">
        <v>316</v>
      </c>
      <c r="O91">
        <v>276</v>
      </c>
      <c r="P91">
        <v>0.86496350364963503</v>
      </c>
      <c r="Q91">
        <v>711</v>
      </c>
      <c r="R91">
        <v>73656</v>
      </c>
      <c r="S91">
        <v>94116</v>
      </c>
      <c r="T91">
        <v>362.40515659755488</v>
      </c>
      <c r="U91">
        <v>475.25742811119443</v>
      </c>
      <c r="V91">
        <v>147.51306367161285</v>
      </c>
      <c r="W91">
        <v>198.34882351409249</v>
      </c>
      <c r="X91">
        <v>166.18679962094987</v>
      </c>
      <c r="Y91">
        <v>217.96791190792931</v>
      </c>
      <c r="Z91">
        <v>2.6913245171294666</v>
      </c>
      <c r="AA91">
        <v>-15.031694981390579</v>
      </c>
      <c r="AB91">
        <v>413.55765919701298</v>
      </c>
      <c r="AC91" t="s">
        <v>155</v>
      </c>
      <c r="AD91">
        <v>55</v>
      </c>
    </row>
    <row r="92" spans="1:30" x14ac:dyDescent="0.3">
      <c r="A92">
        <v>24</v>
      </c>
      <c r="B92" t="s">
        <v>156</v>
      </c>
      <c r="C92" t="s">
        <v>55</v>
      </c>
      <c r="D92" t="s">
        <v>64</v>
      </c>
      <c r="E92">
        <v>110</v>
      </c>
      <c r="F92">
        <v>130</v>
      </c>
      <c r="G92">
        <v>110</v>
      </c>
      <c r="H92">
        <v>100</v>
      </c>
      <c r="I92">
        <v>110</v>
      </c>
      <c r="J92">
        <v>100</v>
      </c>
      <c r="K92">
        <v>361</v>
      </c>
      <c r="L92">
        <v>296</v>
      </c>
      <c r="M92">
        <v>256</v>
      </c>
      <c r="N92">
        <v>236</v>
      </c>
      <c r="O92">
        <v>256</v>
      </c>
      <c r="P92">
        <v>0.86496350364963503</v>
      </c>
      <c r="Q92">
        <v>711</v>
      </c>
      <c r="R92">
        <v>92416</v>
      </c>
      <c r="S92">
        <v>92416</v>
      </c>
      <c r="T92">
        <v>436.56568962474535</v>
      </c>
      <c r="U92">
        <v>326.9753189265121</v>
      </c>
      <c r="V92">
        <v>190.89465320231386</v>
      </c>
      <c r="W92">
        <v>194.36104480023238</v>
      </c>
      <c r="X92">
        <v>199.61214784657</v>
      </c>
      <c r="Y92">
        <v>153.52557182426247</v>
      </c>
      <c r="Z92">
        <v>0.36086484492543325</v>
      </c>
      <c r="AA92">
        <v>6.2431605936087733</v>
      </c>
      <c r="AB92">
        <v>418.97839820021818</v>
      </c>
      <c r="AC92" t="s">
        <v>155</v>
      </c>
      <c r="AD92">
        <v>55</v>
      </c>
    </row>
    <row r="93" spans="1:30" x14ac:dyDescent="0.3">
      <c r="A93">
        <v>23</v>
      </c>
      <c r="B93" t="s">
        <v>157</v>
      </c>
      <c r="C93" t="s">
        <v>65</v>
      </c>
      <c r="D93" t="s">
        <v>77</v>
      </c>
      <c r="E93">
        <v>90</v>
      </c>
      <c r="F93">
        <v>90</v>
      </c>
      <c r="G93">
        <v>90</v>
      </c>
      <c r="H93">
        <v>115</v>
      </c>
      <c r="I93">
        <v>90</v>
      </c>
      <c r="J93">
        <v>90</v>
      </c>
      <c r="K93">
        <v>321</v>
      </c>
      <c r="L93">
        <v>216</v>
      </c>
      <c r="M93">
        <v>216</v>
      </c>
      <c r="N93">
        <v>266</v>
      </c>
      <c r="O93">
        <v>216</v>
      </c>
      <c r="P93">
        <v>0.76034063260340634</v>
      </c>
      <c r="Q93">
        <v>625</v>
      </c>
      <c r="R93">
        <v>69336</v>
      </c>
      <c r="S93">
        <v>69336</v>
      </c>
      <c r="T93">
        <v>268.04509984831191</v>
      </c>
      <c r="U93">
        <v>342.95325411910596</v>
      </c>
      <c r="V93">
        <v>137.52327333192051</v>
      </c>
      <c r="W93">
        <v>140.22108437911982</v>
      </c>
      <c r="X93">
        <v>123.65720029516936</v>
      </c>
      <c r="Y93">
        <v>160.46946774790024</v>
      </c>
      <c r="Z93">
        <v>2.7933949553681843</v>
      </c>
      <c r="AA93">
        <v>-5.7875808955908692</v>
      </c>
      <c r="AB93">
        <v>304.74866260216237</v>
      </c>
      <c r="AC93" t="s">
        <v>35</v>
      </c>
      <c r="AD93">
        <v>65</v>
      </c>
    </row>
    <row r="94" spans="1:30" x14ac:dyDescent="0.3">
      <c r="A94">
        <v>22</v>
      </c>
      <c r="B94" t="s">
        <v>158</v>
      </c>
      <c r="C94" t="s">
        <v>65</v>
      </c>
      <c r="E94">
        <v>75</v>
      </c>
      <c r="F94">
        <v>80</v>
      </c>
      <c r="G94">
        <v>65</v>
      </c>
      <c r="H94">
        <v>85</v>
      </c>
      <c r="I94">
        <v>70</v>
      </c>
      <c r="J94">
        <v>85</v>
      </c>
      <c r="K94">
        <v>291</v>
      </c>
      <c r="L94">
        <v>196</v>
      </c>
      <c r="M94">
        <v>166</v>
      </c>
      <c r="N94">
        <v>206</v>
      </c>
      <c r="O94">
        <v>176</v>
      </c>
      <c r="P94">
        <v>0.71289537712895379</v>
      </c>
      <c r="Q94">
        <v>586</v>
      </c>
      <c r="R94">
        <v>48306</v>
      </c>
      <c r="S94">
        <v>51216</v>
      </c>
      <c r="T94">
        <v>230.70853360730644</v>
      </c>
      <c r="U94">
        <v>244.10840906641761</v>
      </c>
      <c r="V94">
        <v>88.892418969945979</v>
      </c>
      <c r="W94">
        <v>97.716054793740284</v>
      </c>
      <c r="X94">
        <v>106.82900776185822</v>
      </c>
      <c r="Y94">
        <v>117.51220772896396</v>
      </c>
      <c r="Z94">
        <v>2.7200440462143978</v>
      </c>
      <c r="AA94">
        <v>-2.8574326967495338</v>
      </c>
      <c r="AB94">
        <v>207.08567391832929</v>
      </c>
      <c r="AC94" t="s">
        <v>62</v>
      </c>
      <c r="AD94">
        <v>75</v>
      </c>
    </row>
    <row r="95" spans="1:30" x14ac:dyDescent="0.3">
      <c r="A95">
        <v>21</v>
      </c>
      <c r="B95" t="s">
        <v>159</v>
      </c>
      <c r="C95" t="s">
        <v>65</v>
      </c>
      <c r="E95">
        <v>55</v>
      </c>
      <c r="F95">
        <v>55</v>
      </c>
      <c r="G95">
        <v>45</v>
      </c>
      <c r="H95">
        <v>60</v>
      </c>
      <c r="I95">
        <v>50</v>
      </c>
      <c r="J95">
        <v>60</v>
      </c>
      <c r="K95">
        <v>251</v>
      </c>
      <c r="L95">
        <v>146</v>
      </c>
      <c r="M95">
        <v>126</v>
      </c>
      <c r="N95">
        <v>156</v>
      </c>
      <c r="O95">
        <v>136</v>
      </c>
      <c r="P95">
        <v>0.44525547445255476</v>
      </c>
      <c r="Q95">
        <v>366</v>
      </c>
      <c r="R95">
        <v>31626</v>
      </c>
      <c r="S95">
        <v>34136</v>
      </c>
      <c r="T95">
        <v>141.2945504849082</v>
      </c>
      <c r="U95">
        <v>150.68731353058462</v>
      </c>
      <c r="V95">
        <v>50.320728491689437</v>
      </c>
      <c r="W95">
        <v>57.650607480369302</v>
      </c>
      <c r="X95">
        <v>66.528683585249382</v>
      </c>
      <c r="Y95">
        <v>76.912070311099541</v>
      </c>
      <c r="Z95">
        <v>2.6333183365542472</v>
      </c>
      <c r="AA95">
        <v>-2.594703987948793</v>
      </c>
      <c r="AB95">
        <v>103.84699922284121</v>
      </c>
      <c r="AC95" t="s">
        <v>58</v>
      </c>
      <c r="AD95">
        <v>80</v>
      </c>
    </row>
    <row r="96" spans="1:30" x14ac:dyDescent="0.3">
      <c r="A96">
        <v>20</v>
      </c>
      <c r="B96" t="s">
        <v>160</v>
      </c>
      <c r="C96" t="s">
        <v>85</v>
      </c>
      <c r="D96" t="s">
        <v>82</v>
      </c>
      <c r="E96">
        <v>95</v>
      </c>
      <c r="F96">
        <v>85</v>
      </c>
      <c r="G96">
        <v>120</v>
      </c>
      <c r="H96">
        <v>90</v>
      </c>
      <c r="I96">
        <v>115</v>
      </c>
      <c r="J96">
        <v>60</v>
      </c>
      <c r="K96">
        <v>331</v>
      </c>
      <c r="L96">
        <v>206</v>
      </c>
      <c r="M96">
        <v>276</v>
      </c>
      <c r="N96">
        <v>216</v>
      </c>
      <c r="O96">
        <v>266</v>
      </c>
      <c r="P96">
        <v>0.44525547445255476</v>
      </c>
      <c r="Q96">
        <v>366</v>
      </c>
      <c r="R96">
        <v>91356</v>
      </c>
      <c r="S96">
        <v>88046</v>
      </c>
      <c r="T96">
        <v>197.22146984595443</v>
      </c>
      <c r="U96">
        <v>206.44860859002878</v>
      </c>
      <c r="V96">
        <v>188.4434546467412</v>
      </c>
      <c r="W96">
        <v>184.11010775342726</v>
      </c>
      <c r="X96">
        <v>91.735848077227246</v>
      </c>
      <c r="Y96">
        <v>101.14552881451819</v>
      </c>
      <c r="Z96">
        <v>-14.650410172881585</v>
      </c>
      <c r="AA96">
        <v>-0.74359995956714031</v>
      </c>
      <c r="AB96">
        <v>307.05491336554348</v>
      </c>
      <c r="AC96" t="s">
        <v>35</v>
      </c>
      <c r="AD96">
        <v>65</v>
      </c>
    </row>
    <row r="97" spans="1:30" x14ac:dyDescent="0.3">
      <c r="A97">
        <v>19</v>
      </c>
      <c r="B97" t="s">
        <v>161</v>
      </c>
      <c r="C97" t="s">
        <v>85</v>
      </c>
      <c r="E97">
        <v>80</v>
      </c>
      <c r="F97">
        <v>75</v>
      </c>
      <c r="G97">
        <v>95</v>
      </c>
      <c r="H97">
        <v>70</v>
      </c>
      <c r="I97">
        <v>85</v>
      </c>
      <c r="J97">
        <v>65</v>
      </c>
      <c r="K97">
        <v>301</v>
      </c>
      <c r="L97">
        <v>186</v>
      </c>
      <c r="M97">
        <v>226</v>
      </c>
      <c r="N97">
        <v>176</v>
      </c>
      <c r="O97">
        <v>206</v>
      </c>
      <c r="P97">
        <v>0.5024330900243309</v>
      </c>
      <c r="Q97">
        <v>413</v>
      </c>
      <c r="R97">
        <v>68026</v>
      </c>
      <c r="S97">
        <v>62006</v>
      </c>
      <c r="T97">
        <v>186.3316938476141</v>
      </c>
      <c r="U97">
        <v>176.29992689669194</v>
      </c>
      <c r="V97">
        <v>134.49396190946752</v>
      </c>
      <c r="W97">
        <v>123.02672086582886</v>
      </c>
      <c r="X97">
        <v>86.827650414865928</v>
      </c>
      <c r="Y97">
        <v>88.04312819829515</v>
      </c>
      <c r="Z97">
        <v>-8.0250901567054651</v>
      </c>
      <c r="AA97">
        <v>1.5017158012230551</v>
      </c>
      <c r="AB97">
        <v>220.96089923668393</v>
      </c>
      <c r="AC97" t="s">
        <v>62</v>
      </c>
      <c r="AD97">
        <v>75</v>
      </c>
    </row>
    <row r="98" spans="1:30" x14ac:dyDescent="0.3">
      <c r="A98">
        <v>18</v>
      </c>
      <c r="B98" t="s">
        <v>162</v>
      </c>
      <c r="C98" t="s">
        <v>85</v>
      </c>
      <c r="E98">
        <v>55</v>
      </c>
      <c r="F98">
        <v>55</v>
      </c>
      <c r="G98">
        <v>65</v>
      </c>
      <c r="H98">
        <v>50</v>
      </c>
      <c r="I98">
        <v>60</v>
      </c>
      <c r="J98">
        <v>45</v>
      </c>
      <c r="K98">
        <v>251</v>
      </c>
      <c r="L98">
        <v>146</v>
      </c>
      <c r="M98">
        <v>166</v>
      </c>
      <c r="N98">
        <v>136</v>
      </c>
      <c r="O98">
        <v>156</v>
      </c>
      <c r="P98">
        <v>0.24939172749391728</v>
      </c>
      <c r="Q98">
        <v>205</v>
      </c>
      <c r="R98">
        <v>41666</v>
      </c>
      <c r="S98">
        <v>39156</v>
      </c>
      <c r="T98">
        <v>125.63370221607931</v>
      </c>
      <c r="U98">
        <v>118.07153175450897</v>
      </c>
      <c r="V98">
        <v>73.537741225604051</v>
      </c>
      <c r="W98">
        <v>69.426283447179742</v>
      </c>
      <c r="X98">
        <v>59.470086707280892</v>
      </c>
      <c r="Y98">
        <v>62.737485711073816</v>
      </c>
      <c r="Z98">
        <v>-2.242634734554604</v>
      </c>
      <c r="AA98">
        <v>0.12364081835021097</v>
      </c>
      <c r="AB98">
        <v>112.75093970836848</v>
      </c>
      <c r="AC98" t="s">
        <v>58</v>
      </c>
      <c r="AD98">
        <v>80</v>
      </c>
    </row>
    <row r="99" spans="1:30" x14ac:dyDescent="0.3">
      <c r="A99">
        <v>17</v>
      </c>
      <c r="B99" t="s">
        <v>163</v>
      </c>
      <c r="C99" t="s">
        <v>73</v>
      </c>
      <c r="D99" t="s">
        <v>106</v>
      </c>
      <c r="E99">
        <v>85</v>
      </c>
      <c r="F99">
        <v>110</v>
      </c>
      <c r="G99">
        <v>80</v>
      </c>
      <c r="H99">
        <v>100</v>
      </c>
      <c r="I99">
        <v>75</v>
      </c>
      <c r="J99">
        <v>95</v>
      </c>
      <c r="K99">
        <v>311</v>
      </c>
      <c r="L99">
        <v>256</v>
      </c>
      <c r="M99">
        <v>196</v>
      </c>
      <c r="N99">
        <v>236</v>
      </c>
      <c r="O99">
        <v>186</v>
      </c>
      <c r="P99">
        <v>0.80900243309002429</v>
      </c>
      <c r="Q99">
        <v>665</v>
      </c>
      <c r="R99">
        <v>60956</v>
      </c>
      <c r="S99">
        <v>57846</v>
      </c>
      <c r="T99">
        <v>343.30754585363547</v>
      </c>
      <c r="U99">
        <v>310.81468710832348</v>
      </c>
      <c r="V99">
        <v>118.14493003409137</v>
      </c>
      <c r="W99">
        <v>113.26839177779472</v>
      </c>
      <c r="X99">
        <v>157.57919847063442</v>
      </c>
      <c r="Y99">
        <v>146.50227725878284</v>
      </c>
      <c r="Z99">
        <v>5.9053087236923307</v>
      </c>
      <c r="AA99">
        <v>2.3369211285318316</v>
      </c>
      <c r="AB99">
        <v>287.68029217015038</v>
      </c>
      <c r="AC99" t="s">
        <v>56</v>
      </c>
      <c r="AD99">
        <v>70</v>
      </c>
    </row>
    <row r="100" spans="1:30" x14ac:dyDescent="0.3">
      <c r="A100">
        <v>16</v>
      </c>
      <c r="B100" t="s">
        <v>164</v>
      </c>
      <c r="C100" t="s">
        <v>73</v>
      </c>
      <c r="E100">
        <v>70</v>
      </c>
      <c r="F100">
        <v>85</v>
      </c>
      <c r="G100">
        <v>65</v>
      </c>
      <c r="H100">
        <v>85</v>
      </c>
      <c r="I100">
        <v>65</v>
      </c>
      <c r="J100">
        <v>105</v>
      </c>
      <c r="K100">
        <v>281</v>
      </c>
      <c r="L100">
        <v>206</v>
      </c>
      <c r="M100">
        <v>166</v>
      </c>
      <c r="N100">
        <v>206</v>
      </c>
      <c r="O100">
        <v>166</v>
      </c>
      <c r="P100">
        <v>0.8978102189781022</v>
      </c>
      <c r="Q100">
        <v>738</v>
      </c>
      <c r="R100">
        <v>46646</v>
      </c>
      <c r="S100">
        <v>46646</v>
      </c>
      <c r="T100">
        <v>283.42888230469208</v>
      </c>
      <c r="U100">
        <v>283.42888230469208</v>
      </c>
      <c r="V100">
        <v>85.053749533860497</v>
      </c>
      <c r="W100">
        <v>86.995967310010457</v>
      </c>
      <c r="X100">
        <v>130.59091914321434</v>
      </c>
      <c r="Y100">
        <v>134.6006031031873</v>
      </c>
      <c r="Z100">
        <v>7.2305266419470584</v>
      </c>
      <c r="AA100">
        <v>-0.87185634876630302</v>
      </c>
      <c r="AB100">
        <v>224.09924796720105</v>
      </c>
      <c r="AC100" t="s">
        <v>62</v>
      </c>
      <c r="AD100">
        <v>75</v>
      </c>
    </row>
    <row r="101" spans="1:30" x14ac:dyDescent="0.3">
      <c r="A101">
        <v>15</v>
      </c>
      <c r="B101" t="s">
        <v>165</v>
      </c>
      <c r="C101" t="s">
        <v>73</v>
      </c>
      <c r="E101">
        <v>50</v>
      </c>
      <c r="F101">
        <v>60</v>
      </c>
      <c r="G101">
        <v>45</v>
      </c>
      <c r="H101">
        <v>60</v>
      </c>
      <c r="I101">
        <v>45</v>
      </c>
      <c r="J101">
        <v>80</v>
      </c>
      <c r="K101">
        <v>241</v>
      </c>
      <c r="L101">
        <v>156</v>
      </c>
      <c r="M101">
        <v>126</v>
      </c>
      <c r="N101">
        <v>156</v>
      </c>
      <c r="O101">
        <v>126</v>
      </c>
      <c r="P101">
        <v>0.66423357664233573</v>
      </c>
      <c r="Q101">
        <v>546</v>
      </c>
      <c r="R101">
        <v>30366</v>
      </c>
      <c r="S101">
        <v>30366</v>
      </c>
      <c r="T101">
        <v>173.10296575096436</v>
      </c>
      <c r="U101">
        <v>173.10296575096436</v>
      </c>
      <c r="V101">
        <v>47.407039642612503</v>
      </c>
      <c r="W101">
        <v>48.807121744338346</v>
      </c>
      <c r="X101">
        <v>80.865249321410431</v>
      </c>
      <c r="Y101">
        <v>86.653751836439838</v>
      </c>
      <c r="Z101">
        <v>5.6477968285810363</v>
      </c>
      <c r="AA101">
        <v>-1.0530101830687228</v>
      </c>
      <c r="AB101">
        <v>111.82011163541567</v>
      </c>
      <c r="AC101" t="s">
        <v>58</v>
      </c>
      <c r="AD101">
        <v>80</v>
      </c>
    </row>
    <row r="102" spans="1:30" x14ac:dyDescent="0.3">
      <c r="A102">
        <v>14</v>
      </c>
      <c r="B102" t="s">
        <v>166</v>
      </c>
      <c r="C102" t="s">
        <v>69</v>
      </c>
      <c r="D102" t="s">
        <v>87</v>
      </c>
      <c r="E102">
        <v>90</v>
      </c>
      <c r="F102">
        <v>100</v>
      </c>
      <c r="G102">
        <v>110</v>
      </c>
      <c r="H102">
        <v>90</v>
      </c>
      <c r="I102">
        <v>80</v>
      </c>
      <c r="J102">
        <v>75</v>
      </c>
      <c r="K102">
        <v>321</v>
      </c>
      <c r="L102">
        <v>236</v>
      </c>
      <c r="M102">
        <v>256</v>
      </c>
      <c r="N102">
        <v>216</v>
      </c>
      <c r="O102">
        <v>196</v>
      </c>
      <c r="P102">
        <v>0.60948905109489049</v>
      </c>
      <c r="Q102">
        <v>501</v>
      </c>
      <c r="R102">
        <v>82176</v>
      </c>
      <c r="S102">
        <v>62916</v>
      </c>
      <c r="T102">
        <v>260.04801312589052</v>
      </c>
      <c r="U102">
        <v>236.45986756515762</v>
      </c>
      <c r="V102">
        <v>167.21515017489497</v>
      </c>
      <c r="W102">
        <v>125.16135535383633</v>
      </c>
      <c r="X102">
        <v>120.0527843399953</v>
      </c>
      <c r="Y102">
        <v>114.18820650401274</v>
      </c>
      <c r="Z102">
        <v>-8.1404993027840291</v>
      </c>
      <c r="AA102">
        <v>7.0192585959601592</v>
      </c>
      <c r="AB102">
        <v>281.93568518695724</v>
      </c>
      <c r="AC102" t="s">
        <v>56</v>
      </c>
      <c r="AD102">
        <v>70</v>
      </c>
    </row>
    <row r="103" spans="1:30" x14ac:dyDescent="0.3">
      <c r="A103">
        <v>13</v>
      </c>
      <c r="B103" t="s">
        <v>167</v>
      </c>
      <c r="C103" t="s">
        <v>65</v>
      </c>
      <c r="D103" t="s">
        <v>77</v>
      </c>
      <c r="E103">
        <v>80</v>
      </c>
      <c r="F103">
        <v>70</v>
      </c>
      <c r="G103">
        <v>75</v>
      </c>
      <c r="H103">
        <v>110</v>
      </c>
      <c r="I103">
        <v>90</v>
      </c>
      <c r="J103">
        <v>90</v>
      </c>
      <c r="K103">
        <v>301</v>
      </c>
      <c r="L103">
        <v>176</v>
      </c>
      <c r="M103">
        <v>186</v>
      </c>
      <c r="N103">
        <v>256</v>
      </c>
      <c r="O103">
        <v>216</v>
      </c>
      <c r="P103">
        <v>0.76034063260340634</v>
      </c>
      <c r="Q103">
        <v>625</v>
      </c>
      <c r="R103">
        <v>55986</v>
      </c>
      <c r="S103">
        <v>65016</v>
      </c>
      <c r="T103">
        <v>211.27849239759237</v>
      </c>
      <c r="U103">
        <v>327.63465300514349</v>
      </c>
      <c r="V103">
        <v>106.65204624051015</v>
      </c>
      <c r="W103">
        <v>130.08743494154589</v>
      </c>
      <c r="X103">
        <v>98.071574839487994</v>
      </c>
      <c r="Y103">
        <v>153.81211368125074</v>
      </c>
      <c r="Z103">
        <v>3.3572433986030594</v>
      </c>
      <c r="AA103">
        <v>-11.597979630392208</v>
      </c>
      <c r="AB103">
        <v>257.34910530581203</v>
      </c>
      <c r="AC103" t="s">
        <v>56</v>
      </c>
      <c r="AD103">
        <v>70</v>
      </c>
    </row>
    <row r="104" spans="1:30" x14ac:dyDescent="0.3">
      <c r="A104">
        <v>12</v>
      </c>
      <c r="B104" t="s">
        <v>168</v>
      </c>
      <c r="C104" t="s">
        <v>73</v>
      </c>
      <c r="D104" t="s">
        <v>61</v>
      </c>
      <c r="E104">
        <v>75</v>
      </c>
      <c r="F104">
        <v>70</v>
      </c>
      <c r="G104">
        <v>70</v>
      </c>
      <c r="H104">
        <v>120</v>
      </c>
      <c r="I104">
        <v>90</v>
      </c>
      <c r="J104">
        <v>100</v>
      </c>
      <c r="K104">
        <v>291</v>
      </c>
      <c r="L104">
        <v>176</v>
      </c>
      <c r="M104">
        <v>176</v>
      </c>
      <c r="N104">
        <v>276</v>
      </c>
      <c r="O104">
        <v>216</v>
      </c>
      <c r="P104">
        <v>0.86496350364963503</v>
      </c>
      <c r="Q104">
        <v>711</v>
      </c>
      <c r="R104">
        <v>51216</v>
      </c>
      <c r="S104">
        <v>62856</v>
      </c>
      <c r="T104">
        <v>227.53133369932291</v>
      </c>
      <c r="U104">
        <v>398.94185051887473</v>
      </c>
      <c r="V104">
        <v>95.621652740433191</v>
      </c>
      <c r="W104">
        <v>125.02061022275892</v>
      </c>
      <c r="X104">
        <v>105.39699252448364</v>
      </c>
      <c r="Y104">
        <v>184.80170978194985</v>
      </c>
      <c r="Z104">
        <v>9.2055257159604906</v>
      </c>
      <c r="AA104">
        <v>-15.937960469889104</v>
      </c>
      <c r="AB104">
        <v>271.72650460103262</v>
      </c>
      <c r="AC104" t="s">
        <v>56</v>
      </c>
      <c r="AD104">
        <v>70</v>
      </c>
    </row>
    <row r="105" spans="1:30" x14ac:dyDescent="0.3">
      <c r="A105">
        <v>11</v>
      </c>
      <c r="B105" t="s">
        <v>169</v>
      </c>
      <c r="C105" t="s">
        <v>73</v>
      </c>
      <c r="E105">
        <v>45</v>
      </c>
      <c r="F105">
        <v>40</v>
      </c>
      <c r="G105">
        <v>50</v>
      </c>
      <c r="H105">
        <v>65</v>
      </c>
      <c r="I105">
        <v>55</v>
      </c>
      <c r="J105">
        <v>70</v>
      </c>
      <c r="K105">
        <v>231</v>
      </c>
      <c r="L105">
        <v>116</v>
      </c>
      <c r="M105">
        <v>136</v>
      </c>
      <c r="N105">
        <v>166</v>
      </c>
      <c r="O105">
        <v>146</v>
      </c>
      <c r="P105">
        <v>0.57055961070559613</v>
      </c>
      <c r="Q105">
        <v>469</v>
      </c>
      <c r="R105">
        <v>31416</v>
      </c>
      <c r="S105">
        <v>33726</v>
      </c>
      <c r="T105">
        <v>120.08528101591823</v>
      </c>
      <c r="U105">
        <v>173.99667774086382</v>
      </c>
      <c r="V105">
        <v>49.835113683509945</v>
      </c>
      <c r="W105">
        <v>56.688849084673635</v>
      </c>
      <c r="X105">
        <v>56.969323792729021</v>
      </c>
      <c r="Y105">
        <v>87.042152650985983</v>
      </c>
      <c r="Z105">
        <v>4.4323936348376742</v>
      </c>
      <c r="AA105">
        <v>-5.4091382746305907</v>
      </c>
      <c r="AB105">
        <v>103.27970817485509</v>
      </c>
      <c r="AC105" t="s">
        <v>58</v>
      </c>
      <c r="AD105">
        <v>80</v>
      </c>
    </row>
    <row r="106" spans="1:30" x14ac:dyDescent="0.3">
      <c r="A106">
        <v>10</v>
      </c>
      <c r="B106" t="s">
        <v>170</v>
      </c>
      <c r="C106" t="s">
        <v>106</v>
      </c>
      <c r="D106" t="s">
        <v>70</v>
      </c>
      <c r="E106">
        <v>85</v>
      </c>
      <c r="F106">
        <v>115</v>
      </c>
      <c r="G106">
        <v>80</v>
      </c>
      <c r="H106">
        <v>95</v>
      </c>
      <c r="I106">
        <v>80</v>
      </c>
      <c r="J106">
        <v>120</v>
      </c>
      <c r="K106">
        <v>311</v>
      </c>
      <c r="L106">
        <v>266</v>
      </c>
      <c r="M106">
        <v>196</v>
      </c>
      <c r="N106">
        <v>226</v>
      </c>
      <c r="O106">
        <v>196</v>
      </c>
      <c r="P106">
        <v>0.96228710462287104</v>
      </c>
      <c r="Q106">
        <v>791</v>
      </c>
      <c r="R106">
        <v>60956</v>
      </c>
      <c r="S106">
        <v>60956</v>
      </c>
      <c r="T106">
        <v>419.91601025828908</v>
      </c>
      <c r="U106">
        <v>337.50171197463061</v>
      </c>
      <c r="V106">
        <v>118.14493003409137</v>
      </c>
      <c r="W106">
        <v>120.5636810719741</v>
      </c>
      <c r="X106">
        <v>192.10786884597707</v>
      </c>
      <c r="Y106">
        <v>158.10026667039753</v>
      </c>
      <c r="Z106">
        <v>11.113476068232346</v>
      </c>
      <c r="AA106">
        <v>4.6272505218768689</v>
      </c>
      <c r="AB106">
        <v>322.25026968021001</v>
      </c>
      <c r="AC106" t="s">
        <v>35</v>
      </c>
      <c r="AD106">
        <v>65</v>
      </c>
    </row>
    <row r="107" spans="1:30" x14ac:dyDescent="0.3">
      <c r="A107">
        <v>9</v>
      </c>
      <c r="B107" t="s">
        <v>171</v>
      </c>
      <c r="C107" t="s">
        <v>106</v>
      </c>
      <c r="D107" t="s">
        <v>70</v>
      </c>
      <c r="E107">
        <v>65</v>
      </c>
      <c r="F107">
        <v>85</v>
      </c>
      <c r="G107">
        <v>60</v>
      </c>
      <c r="H107">
        <v>70</v>
      </c>
      <c r="I107">
        <v>60</v>
      </c>
      <c r="J107">
        <v>95</v>
      </c>
      <c r="K107">
        <v>271</v>
      </c>
      <c r="L107">
        <v>206</v>
      </c>
      <c r="M107">
        <v>156</v>
      </c>
      <c r="N107">
        <v>176</v>
      </c>
      <c r="O107">
        <v>156</v>
      </c>
      <c r="P107">
        <v>0.80900243309002429</v>
      </c>
      <c r="Q107">
        <v>665</v>
      </c>
      <c r="R107">
        <v>42276</v>
      </c>
      <c r="S107">
        <v>42276</v>
      </c>
      <c r="T107">
        <v>263.7218318910119</v>
      </c>
      <c r="U107">
        <v>218.67198897934168</v>
      </c>
      <c r="V107">
        <v>74.948336620792091</v>
      </c>
      <c r="W107">
        <v>76.745030263205351</v>
      </c>
      <c r="X107">
        <v>121.70863370527665</v>
      </c>
      <c r="Y107">
        <v>106.45772217588356</v>
      </c>
      <c r="Z107">
        <v>6.8021562588780826</v>
      </c>
      <c r="AA107">
        <v>1.9708230751285152</v>
      </c>
      <c r="AB107">
        <v>186.96698748304038</v>
      </c>
      <c r="AC107" t="s">
        <v>37</v>
      </c>
      <c r="AD107">
        <v>80</v>
      </c>
    </row>
    <row r="108" spans="1:30" x14ac:dyDescent="0.3">
      <c r="A108">
        <v>8</v>
      </c>
      <c r="B108" t="s">
        <v>172</v>
      </c>
      <c r="C108" t="s">
        <v>106</v>
      </c>
      <c r="E108">
        <v>45</v>
      </c>
      <c r="F108">
        <v>60</v>
      </c>
      <c r="G108">
        <v>40</v>
      </c>
      <c r="H108">
        <v>45</v>
      </c>
      <c r="I108">
        <v>40</v>
      </c>
      <c r="J108">
        <v>70</v>
      </c>
      <c r="K108">
        <v>231</v>
      </c>
      <c r="L108">
        <v>156</v>
      </c>
      <c r="M108">
        <v>116</v>
      </c>
      <c r="N108">
        <v>126</v>
      </c>
      <c r="O108">
        <v>116</v>
      </c>
      <c r="P108">
        <v>0.57055961070559613</v>
      </c>
      <c r="Q108">
        <v>469</v>
      </c>
      <c r="R108">
        <v>26796</v>
      </c>
      <c r="S108">
        <v>26796</v>
      </c>
      <c r="T108">
        <v>163.12516469038206</v>
      </c>
      <c r="U108">
        <v>130.77587601916971</v>
      </c>
      <c r="V108">
        <v>39.151587903561193</v>
      </c>
      <c r="W108">
        <v>40.432786445232125</v>
      </c>
      <c r="X108">
        <v>76.36809347095766</v>
      </c>
      <c r="Y108">
        <v>68.258702519661156</v>
      </c>
      <c r="Z108">
        <v>5.3377838922497922</v>
      </c>
      <c r="AA108">
        <v>1.0002186136237967</v>
      </c>
      <c r="AB108">
        <v>86.244961248858928</v>
      </c>
      <c r="AC108" t="s">
        <v>101</v>
      </c>
      <c r="AD108">
        <v>80</v>
      </c>
    </row>
    <row r="109" spans="1:30" x14ac:dyDescent="0.3">
      <c r="A109">
        <v>7</v>
      </c>
      <c r="B109" t="s">
        <v>173</v>
      </c>
      <c r="C109" t="s">
        <v>60</v>
      </c>
      <c r="D109" t="s">
        <v>82</v>
      </c>
      <c r="E109">
        <v>80</v>
      </c>
      <c r="F109">
        <v>100</v>
      </c>
      <c r="G109">
        <v>120</v>
      </c>
      <c r="H109">
        <v>75</v>
      </c>
      <c r="I109">
        <v>95</v>
      </c>
      <c r="J109">
        <v>70</v>
      </c>
      <c r="K109">
        <v>301</v>
      </c>
      <c r="L109">
        <v>236</v>
      </c>
      <c r="M109">
        <v>276</v>
      </c>
      <c r="N109">
        <v>186</v>
      </c>
      <c r="O109">
        <v>226</v>
      </c>
      <c r="P109">
        <v>0.57055961070559613</v>
      </c>
      <c r="Q109">
        <v>469</v>
      </c>
      <c r="R109">
        <v>83076</v>
      </c>
      <c r="S109">
        <v>68026</v>
      </c>
      <c r="T109">
        <v>251.22186043662444</v>
      </c>
      <c r="U109">
        <v>195.86542375881294</v>
      </c>
      <c r="V109">
        <v>169.29635649566421</v>
      </c>
      <c r="W109">
        <v>137.14814901726288</v>
      </c>
      <c r="X109">
        <v>116.07469498318005</v>
      </c>
      <c r="Y109">
        <v>96.546152667176685</v>
      </c>
      <c r="Z109">
        <v>-9.1233054427574842</v>
      </c>
      <c r="AA109">
        <v>7.5697994337534533</v>
      </c>
      <c r="AB109">
        <v>277.04860365222885</v>
      </c>
      <c r="AC109" t="s">
        <v>56</v>
      </c>
      <c r="AD109">
        <v>70</v>
      </c>
    </row>
    <row r="110" spans="1:30" x14ac:dyDescent="0.3">
      <c r="A110">
        <v>6</v>
      </c>
      <c r="B110" t="s">
        <v>174</v>
      </c>
      <c r="C110" t="s">
        <v>65</v>
      </c>
      <c r="D110" t="s">
        <v>69</v>
      </c>
      <c r="E110">
        <v>85</v>
      </c>
      <c r="F110">
        <v>100</v>
      </c>
      <c r="G110">
        <v>80</v>
      </c>
      <c r="H110">
        <v>110</v>
      </c>
      <c r="I110">
        <v>90</v>
      </c>
      <c r="J110">
        <v>80</v>
      </c>
      <c r="K110">
        <v>311</v>
      </c>
      <c r="L110">
        <v>236</v>
      </c>
      <c r="M110">
        <v>196</v>
      </c>
      <c r="N110">
        <v>256</v>
      </c>
      <c r="O110">
        <v>216</v>
      </c>
      <c r="P110">
        <v>0.66423357664233573</v>
      </c>
      <c r="Q110">
        <v>546</v>
      </c>
      <c r="R110">
        <v>60956</v>
      </c>
      <c r="S110">
        <v>67176</v>
      </c>
      <c r="T110">
        <v>273.01496064155003</v>
      </c>
      <c r="U110">
        <v>298.97066923110549</v>
      </c>
      <c r="V110">
        <v>118.14493003409137</v>
      </c>
      <c r="W110">
        <v>135.15425966033285</v>
      </c>
      <c r="X110">
        <v>125.89719670385124</v>
      </c>
      <c r="Y110">
        <v>141.35495212160063</v>
      </c>
      <c r="Z110">
        <v>0.51488642715315558</v>
      </c>
      <c r="AA110">
        <v>-4.7558974385853894</v>
      </c>
      <c r="AB110">
        <v>278.01020241905132</v>
      </c>
      <c r="AC110" t="s">
        <v>56</v>
      </c>
      <c r="AD110">
        <v>70</v>
      </c>
    </row>
    <row r="111" spans="1:30" x14ac:dyDescent="0.3">
      <c r="A111">
        <v>5</v>
      </c>
      <c r="B111" t="s">
        <v>175</v>
      </c>
      <c r="C111" t="s">
        <v>73</v>
      </c>
      <c r="D111" t="s">
        <v>82</v>
      </c>
      <c r="E111">
        <v>75</v>
      </c>
      <c r="F111">
        <v>110</v>
      </c>
      <c r="G111">
        <v>70</v>
      </c>
      <c r="H111">
        <v>80</v>
      </c>
      <c r="I111">
        <v>70</v>
      </c>
      <c r="J111">
        <v>110</v>
      </c>
      <c r="K111">
        <v>291</v>
      </c>
      <c r="L111">
        <v>256</v>
      </c>
      <c r="M111">
        <v>176</v>
      </c>
      <c r="N111">
        <v>196</v>
      </c>
      <c r="O111">
        <v>176</v>
      </c>
      <c r="P111">
        <v>0.92822384428223847</v>
      </c>
      <c r="Q111">
        <v>763</v>
      </c>
      <c r="R111">
        <v>51216</v>
      </c>
      <c r="S111">
        <v>51216</v>
      </c>
      <c r="T111">
        <v>385.51415081098378</v>
      </c>
      <c r="U111">
        <v>272.68081679869806</v>
      </c>
      <c r="V111">
        <v>95.621652740433191</v>
      </c>
      <c r="W111">
        <v>97.716054793740284</v>
      </c>
      <c r="X111">
        <v>176.60239599273561</v>
      </c>
      <c r="Y111">
        <v>129.92957099832199</v>
      </c>
      <c r="Z111">
        <v>12.304359274906663</v>
      </c>
      <c r="AA111">
        <v>6.5300105381965681</v>
      </c>
      <c r="AB111">
        <v>264.62685210213181</v>
      </c>
      <c r="AC111" t="s">
        <v>56</v>
      </c>
      <c r="AD111">
        <v>70</v>
      </c>
    </row>
    <row r="112" spans="1:30" x14ac:dyDescent="0.3">
      <c r="A112">
        <v>4</v>
      </c>
      <c r="B112" t="s">
        <v>176</v>
      </c>
      <c r="C112" t="s">
        <v>73</v>
      </c>
      <c r="E112">
        <v>50</v>
      </c>
      <c r="F112">
        <v>70</v>
      </c>
      <c r="G112">
        <v>40</v>
      </c>
      <c r="H112">
        <v>60</v>
      </c>
      <c r="I112">
        <v>40</v>
      </c>
      <c r="J112">
        <v>85</v>
      </c>
      <c r="K112">
        <v>241</v>
      </c>
      <c r="L112">
        <v>176</v>
      </c>
      <c r="M112">
        <v>116</v>
      </c>
      <c r="N112">
        <v>156</v>
      </c>
      <c r="O112">
        <v>116</v>
      </c>
      <c r="P112">
        <v>0.71289537712895379</v>
      </c>
      <c r="Q112">
        <v>586</v>
      </c>
      <c r="R112">
        <v>27956</v>
      </c>
      <c r="S112">
        <v>27956</v>
      </c>
      <c r="T112">
        <v>204.33175667553425</v>
      </c>
      <c r="U112">
        <v>178.53655284088202</v>
      </c>
      <c r="V112">
        <v>41.834031605885983</v>
      </c>
      <c r="W112">
        <v>43.153858979395494</v>
      </c>
      <c r="X112">
        <v>94.940569019235681</v>
      </c>
      <c r="Y112">
        <v>89.01514977613725</v>
      </c>
      <c r="Z112">
        <v>7.9088510654688529</v>
      </c>
      <c r="AA112">
        <v>0.6746439523618909</v>
      </c>
      <c r="AB112">
        <v>115.19185364466431</v>
      </c>
      <c r="AC112" t="s">
        <v>58</v>
      </c>
      <c r="AD112">
        <v>80</v>
      </c>
    </row>
    <row r="113" spans="1:30" x14ac:dyDescent="0.3">
      <c r="A113">
        <v>3</v>
      </c>
      <c r="B113" t="s">
        <v>177</v>
      </c>
      <c r="C113" t="s">
        <v>85</v>
      </c>
      <c r="D113" t="s">
        <v>70</v>
      </c>
      <c r="E113">
        <v>90</v>
      </c>
      <c r="F113">
        <v>100</v>
      </c>
      <c r="G113">
        <v>85</v>
      </c>
      <c r="H113">
        <v>110</v>
      </c>
      <c r="I113">
        <v>80</v>
      </c>
      <c r="J113">
        <v>130</v>
      </c>
      <c r="K113">
        <v>321</v>
      </c>
      <c r="L113">
        <v>236</v>
      </c>
      <c r="M113">
        <v>206</v>
      </c>
      <c r="N113">
        <v>256</v>
      </c>
      <c r="O113">
        <v>196</v>
      </c>
      <c r="P113">
        <v>0.98418491484184911</v>
      </c>
      <c r="Q113">
        <v>809</v>
      </c>
      <c r="R113">
        <v>66126</v>
      </c>
      <c r="S113">
        <v>62916</v>
      </c>
      <c r="T113">
        <v>364.80381640799766</v>
      </c>
      <c r="U113">
        <v>407.44562181746397</v>
      </c>
      <c r="V113">
        <v>130.10030412117689</v>
      </c>
      <c r="W113">
        <v>125.16135535383633</v>
      </c>
      <c r="X113">
        <v>167.26791428081151</v>
      </c>
      <c r="Y113">
        <v>188.49738773683305</v>
      </c>
      <c r="Z113">
        <v>8.9810409838225507</v>
      </c>
      <c r="AA113">
        <v>-2.3862956756091509</v>
      </c>
      <c r="AB113">
        <v>336.55805222938517</v>
      </c>
      <c r="AC113" t="s">
        <v>35</v>
      </c>
      <c r="AD113">
        <v>65</v>
      </c>
    </row>
    <row r="114" spans="1:30" x14ac:dyDescent="0.3">
      <c r="A114">
        <v>2</v>
      </c>
      <c r="B114" t="s">
        <v>178</v>
      </c>
      <c r="C114" t="s">
        <v>85</v>
      </c>
      <c r="D114" t="s">
        <v>70</v>
      </c>
      <c r="E114">
        <v>70</v>
      </c>
      <c r="F114">
        <v>80</v>
      </c>
      <c r="G114">
        <v>65</v>
      </c>
      <c r="H114">
        <v>90</v>
      </c>
      <c r="I114">
        <v>60</v>
      </c>
      <c r="J114">
        <v>110</v>
      </c>
      <c r="K114">
        <v>281</v>
      </c>
      <c r="L114">
        <v>196</v>
      </c>
      <c r="M114">
        <v>166</v>
      </c>
      <c r="N114">
        <v>216</v>
      </c>
      <c r="O114">
        <v>156</v>
      </c>
      <c r="P114">
        <v>0.92822384428223847</v>
      </c>
      <c r="Q114">
        <v>763</v>
      </c>
      <c r="R114">
        <v>46646</v>
      </c>
      <c r="S114">
        <v>43836</v>
      </c>
      <c r="T114">
        <v>272.68081679869806</v>
      </c>
      <c r="U114">
        <v>308.81785042133646</v>
      </c>
      <c r="V114">
        <v>85.053749533860497</v>
      </c>
      <c r="W114">
        <v>80.404403671218162</v>
      </c>
      <c r="X114">
        <v>125.74659268512501</v>
      </c>
      <c r="Y114">
        <v>145.63446637059207</v>
      </c>
      <c r="Z114">
        <v>9.3352221050809305</v>
      </c>
      <c r="AA114">
        <v>-2.2321953246553563</v>
      </c>
      <c r="AB114">
        <v>223.83909163272614</v>
      </c>
      <c r="AC114" t="s">
        <v>62</v>
      </c>
      <c r="AD114">
        <v>75</v>
      </c>
    </row>
    <row r="115" spans="1:30" x14ac:dyDescent="0.3">
      <c r="A115">
        <v>1</v>
      </c>
      <c r="B115" t="s">
        <v>179</v>
      </c>
      <c r="C115" t="s">
        <v>85</v>
      </c>
      <c r="E115">
        <v>50</v>
      </c>
      <c r="F115">
        <v>60</v>
      </c>
      <c r="G115">
        <v>45</v>
      </c>
      <c r="H115">
        <v>70</v>
      </c>
      <c r="I115">
        <v>40</v>
      </c>
      <c r="J115">
        <v>90</v>
      </c>
      <c r="K115">
        <v>241</v>
      </c>
      <c r="L115">
        <v>156</v>
      </c>
      <c r="M115">
        <v>126</v>
      </c>
      <c r="N115">
        <v>176</v>
      </c>
      <c r="O115">
        <v>116</v>
      </c>
      <c r="P115">
        <v>0.76034063260340634</v>
      </c>
      <c r="Q115">
        <v>625</v>
      </c>
      <c r="R115">
        <v>30366</v>
      </c>
      <c r="S115">
        <v>27956</v>
      </c>
      <c r="T115">
        <v>184.00987463091144</v>
      </c>
      <c r="U115">
        <v>211.27849239759237</v>
      </c>
      <c r="V115">
        <v>47.407039642612503</v>
      </c>
      <c r="W115">
        <v>43.153858979395494</v>
      </c>
      <c r="X115">
        <v>85.781169049814665</v>
      </c>
      <c r="Y115">
        <v>103.24456164189694</v>
      </c>
      <c r="Z115">
        <v>8.5658849977041562</v>
      </c>
      <c r="AA115">
        <v>-1.9350801893836354</v>
      </c>
      <c r="AB115">
        <v>122.07907820411218</v>
      </c>
      <c r="AC115" t="s">
        <v>58</v>
      </c>
      <c r="AD115">
        <v>80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7FC40-9C34-4485-A1C4-CA381F6AB645}">
  <sheetPr codeName="Sheet4"/>
  <dimension ref="A1:E77"/>
  <sheetViews>
    <sheetView workbookViewId="0">
      <selection sqref="A1:E77"/>
    </sheetView>
  </sheetViews>
  <sheetFormatPr defaultRowHeight="14.4" x14ac:dyDescent="0.3"/>
  <cols>
    <col min="1" max="1" width="17.6640625" bestFit="1" customWidth="1"/>
    <col min="2" max="2" width="12.44140625" bestFit="1" customWidth="1"/>
    <col min="3" max="3" width="14.88671875" bestFit="1" customWidth="1"/>
    <col min="4" max="4" width="15.6640625" bestFit="1" customWidth="1"/>
    <col min="5" max="5" width="10.88671875" bestFit="1" customWidth="1"/>
  </cols>
  <sheetData>
    <row r="1" spans="1:5" x14ac:dyDescent="0.3">
      <c r="A1" t="s">
        <v>3</v>
      </c>
      <c r="B1" t="s">
        <v>0</v>
      </c>
      <c r="C1" t="s">
        <v>29</v>
      </c>
      <c r="D1" t="s">
        <v>732</v>
      </c>
      <c r="E1" t="s">
        <v>733</v>
      </c>
    </row>
    <row r="2" spans="1:5" x14ac:dyDescent="0.3">
      <c r="A2">
        <v>1</v>
      </c>
      <c r="B2" t="s">
        <v>179</v>
      </c>
      <c r="C2">
        <v>122.07907820411218</v>
      </c>
      <c r="D2">
        <v>80</v>
      </c>
    </row>
    <row r="3" spans="1:5" x14ac:dyDescent="0.3">
      <c r="A3">
        <v>2</v>
      </c>
      <c r="B3" t="s">
        <v>178</v>
      </c>
      <c r="C3">
        <v>223.83909163272614</v>
      </c>
      <c r="D3">
        <v>75</v>
      </c>
    </row>
    <row r="4" spans="1:5" x14ac:dyDescent="0.3">
      <c r="A4">
        <v>3</v>
      </c>
      <c r="B4" t="s">
        <v>177</v>
      </c>
      <c r="C4">
        <v>336.55805222938517</v>
      </c>
      <c r="D4">
        <v>65</v>
      </c>
    </row>
    <row r="5" spans="1:5" x14ac:dyDescent="0.3">
      <c r="A5">
        <v>4</v>
      </c>
      <c r="B5" t="s">
        <v>176</v>
      </c>
      <c r="C5">
        <v>115.19185364466431</v>
      </c>
      <c r="D5">
        <v>80</v>
      </c>
    </row>
    <row r="6" spans="1:5" x14ac:dyDescent="0.3">
      <c r="A6">
        <v>5</v>
      </c>
      <c r="B6" t="s">
        <v>175</v>
      </c>
      <c r="C6">
        <v>264.62685210213181</v>
      </c>
      <c r="D6">
        <v>70</v>
      </c>
    </row>
    <row r="7" spans="1:5" x14ac:dyDescent="0.3">
      <c r="A7">
        <v>6</v>
      </c>
      <c r="B7" t="s">
        <v>174</v>
      </c>
      <c r="C7">
        <v>278.01020241905132</v>
      </c>
      <c r="D7">
        <v>70</v>
      </c>
    </row>
    <row r="8" spans="1:5" x14ac:dyDescent="0.3">
      <c r="A8">
        <v>7</v>
      </c>
      <c r="B8" t="s">
        <v>173</v>
      </c>
      <c r="C8">
        <v>277.04860365222885</v>
      </c>
      <c r="D8">
        <v>70</v>
      </c>
    </row>
    <row r="9" spans="1:5" x14ac:dyDescent="0.3">
      <c r="A9">
        <v>8</v>
      </c>
      <c r="B9" t="s">
        <v>172</v>
      </c>
      <c r="C9">
        <v>86.244961248858928</v>
      </c>
      <c r="D9">
        <v>80</v>
      </c>
    </row>
    <row r="10" spans="1:5" x14ac:dyDescent="0.3">
      <c r="A10">
        <v>9</v>
      </c>
      <c r="B10" t="s">
        <v>171</v>
      </c>
      <c r="C10">
        <v>186.96698748304038</v>
      </c>
      <c r="D10">
        <v>80</v>
      </c>
    </row>
    <row r="11" spans="1:5" x14ac:dyDescent="0.3">
      <c r="A11">
        <v>10</v>
      </c>
      <c r="B11" t="s">
        <v>170</v>
      </c>
      <c r="C11">
        <v>322.25026968021001</v>
      </c>
      <c r="D11">
        <v>65</v>
      </c>
    </row>
    <row r="12" spans="1:5" x14ac:dyDescent="0.3">
      <c r="A12">
        <v>11</v>
      </c>
      <c r="B12" t="s">
        <v>169</v>
      </c>
      <c r="C12">
        <v>103.27970817485509</v>
      </c>
      <c r="D12">
        <v>80</v>
      </c>
    </row>
    <row r="13" spans="1:5" x14ac:dyDescent="0.3">
      <c r="A13">
        <v>12</v>
      </c>
      <c r="B13" t="s">
        <v>168</v>
      </c>
      <c r="C13">
        <v>271.72650460103262</v>
      </c>
      <c r="D13">
        <v>70</v>
      </c>
    </row>
    <row r="14" spans="1:5" x14ac:dyDescent="0.3">
      <c r="A14">
        <v>13</v>
      </c>
      <c r="B14" t="s">
        <v>167</v>
      </c>
      <c r="C14">
        <v>257.34910530581203</v>
      </c>
      <c r="D14">
        <v>70</v>
      </c>
    </row>
    <row r="15" spans="1:5" x14ac:dyDescent="0.3">
      <c r="A15">
        <v>14</v>
      </c>
      <c r="B15" t="s">
        <v>166</v>
      </c>
      <c r="C15">
        <v>281.93568518695724</v>
      </c>
      <c r="D15">
        <v>70</v>
      </c>
    </row>
    <row r="16" spans="1:5" x14ac:dyDescent="0.3">
      <c r="A16">
        <v>15</v>
      </c>
      <c r="B16" t="s">
        <v>165</v>
      </c>
      <c r="C16">
        <v>111.82011163541567</v>
      </c>
      <c r="D16">
        <v>80</v>
      </c>
    </row>
    <row r="17" spans="1:4" x14ac:dyDescent="0.3">
      <c r="A17">
        <v>16</v>
      </c>
      <c r="B17" t="s">
        <v>164</v>
      </c>
      <c r="C17">
        <v>224.09924796720105</v>
      </c>
      <c r="D17">
        <v>75</v>
      </c>
    </row>
    <row r="18" spans="1:4" x14ac:dyDescent="0.3">
      <c r="A18">
        <v>17</v>
      </c>
      <c r="B18" t="s">
        <v>163</v>
      </c>
      <c r="C18">
        <v>287.68029217015038</v>
      </c>
      <c r="D18">
        <v>70</v>
      </c>
    </row>
    <row r="19" spans="1:4" x14ac:dyDescent="0.3">
      <c r="A19">
        <v>18</v>
      </c>
      <c r="B19" t="s">
        <v>162</v>
      </c>
      <c r="C19">
        <v>112.75093970836848</v>
      </c>
      <c r="D19">
        <v>80</v>
      </c>
    </row>
    <row r="20" spans="1:4" x14ac:dyDescent="0.3">
      <c r="A20">
        <v>19</v>
      </c>
      <c r="B20" t="s">
        <v>161</v>
      </c>
      <c r="C20">
        <v>220.96089923668393</v>
      </c>
      <c r="D20">
        <v>75</v>
      </c>
    </row>
    <row r="21" spans="1:4" x14ac:dyDescent="0.3">
      <c r="A21">
        <v>20</v>
      </c>
      <c r="B21" t="s">
        <v>160</v>
      </c>
      <c r="C21">
        <v>307.05491336554348</v>
      </c>
      <c r="D21">
        <v>65</v>
      </c>
    </row>
    <row r="22" spans="1:4" x14ac:dyDescent="0.3">
      <c r="A22">
        <v>21</v>
      </c>
      <c r="B22" t="s">
        <v>159</v>
      </c>
      <c r="C22">
        <v>103.84699922284121</v>
      </c>
      <c r="D22">
        <v>80</v>
      </c>
    </row>
    <row r="23" spans="1:4" x14ac:dyDescent="0.3">
      <c r="A23">
        <v>22</v>
      </c>
      <c r="B23" t="s">
        <v>158</v>
      </c>
      <c r="C23">
        <v>207.08567391832929</v>
      </c>
      <c r="D23">
        <v>75</v>
      </c>
    </row>
    <row r="24" spans="1:4" x14ac:dyDescent="0.3">
      <c r="A24">
        <v>23</v>
      </c>
      <c r="B24" t="s">
        <v>157</v>
      </c>
      <c r="C24">
        <v>304.74866260216237</v>
      </c>
      <c r="D24">
        <v>65</v>
      </c>
    </row>
    <row r="25" spans="1:4" x14ac:dyDescent="0.3">
      <c r="A25">
        <v>24</v>
      </c>
      <c r="B25" t="s">
        <v>156</v>
      </c>
      <c r="C25">
        <v>418.97839820021818</v>
      </c>
      <c r="D25">
        <v>55</v>
      </c>
    </row>
    <row r="26" spans="1:4" x14ac:dyDescent="0.3">
      <c r="A26">
        <v>25</v>
      </c>
      <c r="B26" t="s">
        <v>154</v>
      </c>
      <c r="C26">
        <v>413.55765919701298</v>
      </c>
      <c r="D26">
        <v>55</v>
      </c>
    </row>
    <row r="27" spans="1:4" x14ac:dyDescent="0.3">
      <c r="A27">
        <v>26</v>
      </c>
      <c r="B27" t="s">
        <v>1</v>
      </c>
      <c r="C27">
        <v>453.36644648405405</v>
      </c>
      <c r="D27">
        <v>50</v>
      </c>
    </row>
    <row r="28" spans="1:4" x14ac:dyDescent="0.3">
      <c r="A28">
        <v>27</v>
      </c>
      <c r="B28" t="s">
        <v>152</v>
      </c>
      <c r="C28">
        <v>337.89327182663101</v>
      </c>
      <c r="D28">
        <v>65</v>
      </c>
    </row>
    <row r="29" spans="1:4" x14ac:dyDescent="0.3">
      <c r="A29">
        <v>28</v>
      </c>
      <c r="B29" t="s">
        <v>151</v>
      </c>
      <c r="C29">
        <v>337.89874600163495</v>
      </c>
      <c r="D29">
        <v>65</v>
      </c>
    </row>
    <row r="30" spans="1:4" x14ac:dyDescent="0.3">
      <c r="A30">
        <v>29</v>
      </c>
      <c r="B30" t="s">
        <v>150</v>
      </c>
      <c r="C30">
        <v>346.45051568708732</v>
      </c>
      <c r="D30">
        <v>65</v>
      </c>
    </row>
    <row r="31" spans="1:4" x14ac:dyDescent="0.3">
      <c r="A31">
        <v>30</v>
      </c>
      <c r="B31" t="s">
        <v>149</v>
      </c>
      <c r="C31">
        <v>110.61282020683772</v>
      </c>
      <c r="D31">
        <v>80</v>
      </c>
    </row>
    <row r="32" spans="1:4" x14ac:dyDescent="0.3">
      <c r="A32">
        <v>31</v>
      </c>
      <c r="B32" t="s">
        <v>148</v>
      </c>
      <c r="C32">
        <v>246.7427142388342</v>
      </c>
      <c r="D32">
        <v>75</v>
      </c>
    </row>
    <row r="33" spans="1:4" x14ac:dyDescent="0.3">
      <c r="A33">
        <v>32</v>
      </c>
      <c r="B33" t="s">
        <v>147</v>
      </c>
      <c r="C33">
        <v>389.44176360210332</v>
      </c>
      <c r="D33">
        <v>60</v>
      </c>
    </row>
    <row r="34" spans="1:4" x14ac:dyDescent="0.3">
      <c r="A34">
        <v>33</v>
      </c>
      <c r="B34" t="s">
        <v>146</v>
      </c>
      <c r="C34">
        <v>118.31052720547011</v>
      </c>
      <c r="D34">
        <v>80</v>
      </c>
    </row>
    <row r="35" spans="1:4" x14ac:dyDescent="0.3">
      <c r="A35">
        <v>34</v>
      </c>
      <c r="B35" t="s">
        <v>145</v>
      </c>
      <c r="C35">
        <v>290.77554534875418</v>
      </c>
      <c r="D35">
        <v>70</v>
      </c>
    </row>
    <row r="36" spans="1:4" x14ac:dyDescent="0.3">
      <c r="A36">
        <v>35</v>
      </c>
      <c r="B36" t="s">
        <v>144</v>
      </c>
      <c r="C36">
        <v>95.803866074068353</v>
      </c>
      <c r="D36">
        <v>80</v>
      </c>
    </row>
    <row r="37" spans="1:4" x14ac:dyDescent="0.3">
      <c r="A37">
        <v>36</v>
      </c>
      <c r="B37" t="s">
        <v>143</v>
      </c>
      <c r="C37">
        <v>224.57813858290154</v>
      </c>
      <c r="D37">
        <v>75</v>
      </c>
    </row>
    <row r="38" spans="1:4" x14ac:dyDescent="0.3">
      <c r="A38">
        <v>37</v>
      </c>
      <c r="B38" t="s">
        <v>142</v>
      </c>
      <c r="C38">
        <v>137.0663222255148</v>
      </c>
      <c r="D38">
        <v>80</v>
      </c>
    </row>
    <row r="39" spans="1:4" x14ac:dyDescent="0.3">
      <c r="A39">
        <v>38</v>
      </c>
      <c r="B39" t="s">
        <v>141</v>
      </c>
      <c r="C39">
        <v>272.7859576082688</v>
      </c>
      <c r="D39">
        <v>70</v>
      </c>
    </row>
    <row r="40" spans="1:4" x14ac:dyDescent="0.3">
      <c r="A40">
        <v>39</v>
      </c>
      <c r="B40" t="s">
        <v>140</v>
      </c>
      <c r="C40">
        <v>133.88768525643712</v>
      </c>
      <c r="D40">
        <v>80</v>
      </c>
    </row>
    <row r="41" spans="1:4" x14ac:dyDescent="0.3">
      <c r="A41">
        <v>40</v>
      </c>
      <c r="B41" t="s">
        <v>139</v>
      </c>
      <c r="C41">
        <v>283.4159925689292</v>
      </c>
      <c r="D41">
        <v>70</v>
      </c>
    </row>
    <row r="42" spans="1:4" x14ac:dyDescent="0.3">
      <c r="A42">
        <v>41</v>
      </c>
      <c r="B42" t="s">
        <v>138</v>
      </c>
      <c r="C42">
        <v>189.29119385232144</v>
      </c>
      <c r="D42">
        <v>80</v>
      </c>
    </row>
    <row r="43" spans="1:4" x14ac:dyDescent="0.3">
      <c r="A43">
        <v>42</v>
      </c>
      <c r="B43" t="s">
        <v>137</v>
      </c>
      <c r="C43">
        <v>322.29494264535401</v>
      </c>
      <c r="D43">
        <v>65</v>
      </c>
    </row>
    <row r="44" spans="1:4" x14ac:dyDescent="0.3">
      <c r="A44">
        <v>43</v>
      </c>
      <c r="B44" t="s">
        <v>136</v>
      </c>
      <c r="C44">
        <v>231.49969554652523</v>
      </c>
      <c r="D44">
        <v>75</v>
      </c>
    </row>
    <row r="45" spans="1:4" x14ac:dyDescent="0.3">
      <c r="A45">
        <v>44</v>
      </c>
      <c r="B45" t="s">
        <v>135</v>
      </c>
      <c r="C45">
        <v>199.7363630158124</v>
      </c>
      <c r="D45">
        <v>80</v>
      </c>
    </row>
    <row r="46" spans="1:4" x14ac:dyDescent="0.3">
      <c r="A46">
        <v>45</v>
      </c>
      <c r="B46" t="s">
        <v>134</v>
      </c>
      <c r="C46">
        <v>269.60134058437649</v>
      </c>
      <c r="D46">
        <v>70</v>
      </c>
    </row>
    <row r="47" spans="1:4" x14ac:dyDescent="0.3">
      <c r="A47">
        <v>46</v>
      </c>
      <c r="B47" t="s">
        <v>133</v>
      </c>
      <c r="C47">
        <v>188.87326897915239</v>
      </c>
      <c r="D47">
        <v>80</v>
      </c>
    </row>
    <row r="48" spans="1:4" x14ac:dyDescent="0.3">
      <c r="A48">
        <v>47</v>
      </c>
      <c r="B48" t="s">
        <v>132</v>
      </c>
      <c r="C48">
        <v>322.73378825636058</v>
      </c>
      <c r="D48">
        <v>65</v>
      </c>
    </row>
    <row r="49" spans="1:4" x14ac:dyDescent="0.3">
      <c r="A49">
        <v>48</v>
      </c>
      <c r="B49" t="s">
        <v>131</v>
      </c>
      <c r="C49">
        <v>179.18191483765048</v>
      </c>
      <c r="D49">
        <v>80</v>
      </c>
    </row>
    <row r="50" spans="1:4" x14ac:dyDescent="0.3">
      <c r="A50">
        <v>49</v>
      </c>
      <c r="B50" t="s">
        <v>130</v>
      </c>
      <c r="C50">
        <v>315.51934418168906</v>
      </c>
      <c r="D50">
        <v>65</v>
      </c>
    </row>
    <row r="51" spans="1:4" x14ac:dyDescent="0.3">
      <c r="A51">
        <v>50</v>
      </c>
      <c r="B51" t="s">
        <v>129</v>
      </c>
      <c r="C51">
        <v>287.49541031450104</v>
      </c>
      <c r="D51">
        <v>70</v>
      </c>
    </row>
    <row r="52" spans="1:4" x14ac:dyDescent="0.3">
      <c r="A52">
        <v>51</v>
      </c>
      <c r="B52" t="s">
        <v>128</v>
      </c>
      <c r="C52">
        <v>113.21181278232093</v>
      </c>
      <c r="D52">
        <v>80</v>
      </c>
    </row>
    <row r="53" spans="1:4" x14ac:dyDescent="0.3">
      <c r="A53">
        <v>52</v>
      </c>
      <c r="B53" t="s">
        <v>127</v>
      </c>
      <c r="C53">
        <v>229.81294236268928</v>
      </c>
      <c r="D53">
        <v>75</v>
      </c>
    </row>
    <row r="54" spans="1:4" x14ac:dyDescent="0.3">
      <c r="A54">
        <v>53</v>
      </c>
      <c r="B54" t="s">
        <v>126</v>
      </c>
      <c r="C54">
        <v>111.51122000016419</v>
      </c>
      <c r="D54">
        <v>80</v>
      </c>
    </row>
    <row r="55" spans="1:4" x14ac:dyDescent="0.3">
      <c r="A55">
        <v>54</v>
      </c>
      <c r="B55" t="s">
        <v>125</v>
      </c>
      <c r="C55">
        <v>263.35469127072349</v>
      </c>
      <c r="D55">
        <v>70</v>
      </c>
    </row>
    <row r="56" spans="1:4" x14ac:dyDescent="0.3">
      <c r="A56">
        <v>55</v>
      </c>
      <c r="B56" t="s">
        <v>124</v>
      </c>
      <c r="C56">
        <v>163.09782675135676</v>
      </c>
      <c r="D56">
        <v>80</v>
      </c>
    </row>
    <row r="57" spans="1:4" x14ac:dyDescent="0.3">
      <c r="A57">
        <v>56</v>
      </c>
      <c r="B57" t="s">
        <v>123</v>
      </c>
      <c r="C57">
        <v>291.58060209425651</v>
      </c>
      <c r="D57">
        <v>70</v>
      </c>
    </row>
    <row r="58" spans="1:4" x14ac:dyDescent="0.3">
      <c r="A58">
        <v>57</v>
      </c>
      <c r="B58" t="s">
        <v>122</v>
      </c>
      <c r="C58">
        <v>351.81567088002356</v>
      </c>
      <c r="D58">
        <v>60</v>
      </c>
    </row>
    <row r="59" spans="1:4" x14ac:dyDescent="0.3">
      <c r="A59">
        <v>58</v>
      </c>
      <c r="B59" t="s">
        <v>121</v>
      </c>
      <c r="C59">
        <v>353.36593421353041</v>
      </c>
      <c r="D59">
        <v>60</v>
      </c>
    </row>
    <row r="60" spans="1:4" x14ac:dyDescent="0.3">
      <c r="A60">
        <v>59</v>
      </c>
      <c r="B60" t="s">
        <v>120</v>
      </c>
      <c r="C60">
        <v>340.62347698610301</v>
      </c>
      <c r="D60">
        <v>65</v>
      </c>
    </row>
    <row r="61" spans="1:4" x14ac:dyDescent="0.3">
      <c r="A61">
        <v>60</v>
      </c>
      <c r="B61" t="s">
        <v>119</v>
      </c>
      <c r="C61">
        <v>340.90443798672686</v>
      </c>
      <c r="D61">
        <v>65</v>
      </c>
    </row>
    <row r="62" spans="1:4" x14ac:dyDescent="0.3">
      <c r="A62">
        <v>61</v>
      </c>
      <c r="B62" t="s">
        <v>118</v>
      </c>
      <c r="C62">
        <v>329.49755272670609</v>
      </c>
      <c r="D62">
        <v>65</v>
      </c>
    </row>
    <row r="63" spans="1:4" x14ac:dyDescent="0.3">
      <c r="A63">
        <v>62</v>
      </c>
      <c r="B63" t="s">
        <v>117</v>
      </c>
      <c r="C63">
        <v>352.75739437674412</v>
      </c>
      <c r="D63">
        <v>60</v>
      </c>
    </row>
    <row r="64" spans="1:4" x14ac:dyDescent="0.3">
      <c r="A64">
        <v>63</v>
      </c>
      <c r="B64" t="s">
        <v>116</v>
      </c>
      <c r="C64">
        <v>337.88975737695677</v>
      </c>
      <c r="D64">
        <v>65</v>
      </c>
    </row>
    <row r="65" spans="1:4" x14ac:dyDescent="0.3">
      <c r="A65">
        <v>64</v>
      </c>
      <c r="B65" t="s">
        <v>115</v>
      </c>
      <c r="C65">
        <v>323.01511172885557</v>
      </c>
      <c r="D65">
        <v>65</v>
      </c>
    </row>
    <row r="66" spans="1:4" x14ac:dyDescent="0.3">
      <c r="A66">
        <v>65</v>
      </c>
      <c r="B66" t="s">
        <v>114</v>
      </c>
      <c r="C66">
        <v>351.02317502261496</v>
      </c>
      <c r="D66">
        <v>60</v>
      </c>
    </row>
    <row r="67" spans="1:4" x14ac:dyDescent="0.3">
      <c r="A67">
        <v>66</v>
      </c>
      <c r="B67" t="s">
        <v>113</v>
      </c>
      <c r="C67">
        <v>351.02317502261496</v>
      </c>
      <c r="D67">
        <v>60</v>
      </c>
    </row>
    <row r="68" spans="1:4" x14ac:dyDescent="0.3">
      <c r="A68">
        <v>67</v>
      </c>
      <c r="B68" t="s">
        <v>112</v>
      </c>
      <c r="C68">
        <v>81.883717391287135</v>
      </c>
      <c r="D68">
        <v>80</v>
      </c>
    </row>
    <row r="69" spans="1:4" x14ac:dyDescent="0.3">
      <c r="A69">
        <v>68</v>
      </c>
      <c r="B69" t="s">
        <v>111</v>
      </c>
      <c r="C69">
        <v>192.618294661005</v>
      </c>
      <c r="D69">
        <v>80</v>
      </c>
    </row>
    <row r="70" spans="1:4" x14ac:dyDescent="0.3">
      <c r="A70">
        <v>69</v>
      </c>
      <c r="B70" t="s">
        <v>110</v>
      </c>
      <c r="C70">
        <v>320.02620774872247</v>
      </c>
      <c r="D70">
        <v>65</v>
      </c>
    </row>
    <row r="71" spans="1:4" x14ac:dyDescent="0.3">
      <c r="A71">
        <v>70</v>
      </c>
      <c r="B71" t="s">
        <v>109</v>
      </c>
      <c r="C71">
        <v>247.95937558168879</v>
      </c>
      <c r="D71">
        <v>75</v>
      </c>
    </row>
    <row r="72" spans="1:4" x14ac:dyDescent="0.3">
      <c r="A72">
        <v>71</v>
      </c>
      <c r="B72" t="s">
        <v>108</v>
      </c>
      <c r="C72">
        <v>245.99030020806265</v>
      </c>
      <c r="D72">
        <v>75</v>
      </c>
    </row>
    <row r="73" spans="1:4" x14ac:dyDescent="0.3">
      <c r="A73">
        <v>72</v>
      </c>
      <c r="B73" t="s">
        <v>107</v>
      </c>
      <c r="C73">
        <v>281.87743239438566</v>
      </c>
      <c r="D73">
        <v>70</v>
      </c>
    </row>
    <row r="74" spans="1:4" x14ac:dyDescent="0.3">
      <c r="A74">
        <v>73</v>
      </c>
      <c r="B74" t="s">
        <v>105</v>
      </c>
      <c r="C74">
        <v>247.16082874361564</v>
      </c>
      <c r="D74">
        <v>75</v>
      </c>
    </row>
    <row r="75" spans="1:4" x14ac:dyDescent="0.3">
      <c r="A75">
        <v>74</v>
      </c>
      <c r="B75" t="s">
        <v>104</v>
      </c>
      <c r="C75">
        <v>257.2671644159243</v>
      </c>
      <c r="D75">
        <v>70</v>
      </c>
    </row>
    <row r="76" spans="1:4" x14ac:dyDescent="0.3">
      <c r="A76">
        <v>75</v>
      </c>
      <c r="B76" t="s">
        <v>103</v>
      </c>
      <c r="C76">
        <v>130.17714201445443</v>
      </c>
      <c r="D76">
        <v>80</v>
      </c>
    </row>
    <row r="77" spans="1:4" x14ac:dyDescent="0.3">
      <c r="A77">
        <v>76</v>
      </c>
      <c r="B77" t="s">
        <v>102</v>
      </c>
      <c r="C77">
        <v>244.79227829003474</v>
      </c>
      <c r="D77">
        <v>75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78922-F89D-4469-9AF2-CF8B170ABD85}">
  <sheetPr codeName="Sheet5"/>
  <dimension ref="E3:H3"/>
  <sheetViews>
    <sheetView workbookViewId="0">
      <selection activeCell="D41" sqref="D41"/>
    </sheetView>
  </sheetViews>
  <sheetFormatPr defaultRowHeight="14.4" x14ac:dyDescent="0.3"/>
  <sheetData>
    <row r="3" spans="5:8" x14ac:dyDescent="0.3">
      <c r="E3" s="1" t="e">
        <f>(#REF! / 401.424544) - 24.593586</f>
        <v>#REF!</v>
      </c>
      <c r="F3" s="1" t="e">
        <f>(#REF! / 415.017219) - 19.123917</f>
        <v>#REF!</v>
      </c>
      <c r="G3" s="1" t="e">
        <f>(#REF! /   1.891436) -  4.668834</f>
        <v>#REF!</v>
      </c>
      <c r="H3" s="1" t="e">
        <f>(#REF! /   1.939729) +  3.716211</f>
        <v>#REF!</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027A77F-A9E1-4529-A156-84DE9724B50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Detailed Sheet</vt:lpstr>
      <vt:lpstr>Dex</vt:lpstr>
      <vt:lpstr>CAP</vt:lpstr>
      <vt:lpstr>Pool</vt:lpstr>
      <vt:lpstr>Sheet5</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Giorgio Vitalone</dc:creator>
  <cp:keywords/>
  <dc:description/>
  <cp:lastModifiedBy>Giorgio Vitalone</cp:lastModifiedBy>
  <cp:revision/>
  <dcterms:created xsi:type="dcterms:W3CDTF">2023-03-27T08:23:39Z</dcterms:created>
  <dcterms:modified xsi:type="dcterms:W3CDTF">2023-03-30T22:49:12Z</dcterms:modified>
  <cp:category/>
  <cp:contentStatus/>
</cp:coreProperties>
</file>